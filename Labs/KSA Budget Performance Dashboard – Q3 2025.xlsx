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bb4ffc2c2641dcdb/Let's Talk Data/Reports/Saudi Arabia Budget Analytics/Saudi Arabia Budget Analytics - 2025Q3/"/>
    </mc:Choice>
  </mc:AlternateContent>
  <xr:revisionPtr revIDLastSave="402" documentId="8_{716A9F0E-5506-4A5A-A9F6-F797FAE5F629}" xr6:coauthVersionLast="47" xr6:coauthVersionMax="47" xr10:uidLastSave="{DF20296A-ECEA-499C-A754-B67656505CDD}"/>
  <bookViews>
    <workbookView xWindow="-110" yWindow="-110" windowWidth="25820" windowHeight="15500" activeTab="3" xr2:uid="{6B2BA4A5-D3AE-4733-8D02-61915A8CA0FE}"/>
  </bookViews>
  <sheets>
    <sheet name="Prompts" sheetId="4" r:id="rId1"/>
    <sheet name="KSA Budget" sheetId="2" r:id="rId2"/>
    <sheet name="Analysis" sheetId="1" r:id="rId3"/>
    <sheet name="Dashboard" sheetId="3" r:id="rId4"/>
  </sheets>
  <definedNames>
    <definedName name="ExternalData_1" localSheetId="1" hidden="1">'KSA Budget'!$A$1:$F$253</definedName>
    <definedName name="Slicer_السنة">#N/A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SA Budget_b3ca3fd4-afec-490d-b75d-9ae4717ba0d7" name="KSA Budget" connection="Query - KSA Budg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a="1"/>
  <c r="G2" i="2" s="1"/>
  <c r="G3" i="2" a="1"/>
  <c r="G3" i="2" s="1"/>
  <c r="G4" i="2" a="1"/>
  <c r="G4" i="2" s="1"/>
  <c r="G5" i="2" a="1"/>
  <c r="G5" i="2" s="1"/>
  <c r="G6" i="2" a="1"/>
  <c r="G6" i="2" s="1"/>
  <c r="G7" i="2" a="1"/>
  <c r="G7" i="2" s="1"/>
  <c r="G8" i="2" a="1"/>
  <c r="G8" i="2" s="1"/>
  <c r="G9" i="2" a="1"/>
  <c r="G9" i="2" s="1"/>
  <c r="G10" i="2" a="1"/>
  <c r="G10" i="2" s="1"/>
  <c r="G11" i="2" a="1"/>
  <c r="G11" i="2" s="1"/>
  <c r="G12" i="2" a="1"/>
  <c r="G12" i="2" s="1"/>
  <c r="G13" i="2" a="1"/>
  <c r="G13" i="2" s="1"/>
  <c r="G14" i="2" a="1"/>
  <c r="G14" i="2" s="1"/>
  <c r="G15" i="2" a="1"/>
  <c r="G15" i="2" s="1"/>
  <c r="G16" i="2" a="1"/>
  <c r="G16" i="2" s="1"/>
  <c r="G17" i="2" a="1"/>
  <c r="G17" i="2" s="1"/>
  <c r="G18" i="2" a="1"/>
  <c r="G18" i="2" s="1"/>
  <c r="G19" i="2" a="1"/>
  <c r="G19" i="2" s="1"/>
  <c r="G20" i="2" a="1"/>
  <c r="G20" i="2" s="1"/>
  <c r="G21" i="2" a="1"/>
  <c r="G21" i="2" s="1"/>
  <c r="G22" i="2" a="1"/>
  <c r="G22" i="2" s="1"/>
  <c r="G23" i="2" a="1"/>
  <c r="G23" i="2" s="1"/>
  <c r="G24" i="2" a="1"/>
  <c r="G24" i="2" s="1"/>
  <c r="G25" i="2" a="1"/>
  <c r="G25" i="2" s="1"/>
  <c r="G26" i="2" a="1"/>
  <c r="G26" i="2" s="1"/>
  <c r="G27" i="2" a="1"/>
  <c r="G27" i="2" s="1"/>
  <c r="G28" i="2" a="1"/>
  <c r="G28" i="2" s="1"/>
  <c r="G29" i="2" a="1"/>
  <c r="G29" i="2" s="1"/>
  <c r="G30" i="2" a="1"/>
  <c r="G30" i="2" s="1"/>
  <c r="G31" i="2" a="1"/>
  <c r="G31" i="2" s="1"/>
  <c r="G32" i="2" a="1"/>
  <c r="G32" i="2" s="1"/>
  <c r="G33" i="2" a="1"/>
  <c r="G33" i="2" s="1"/>
  <c r="G34" i="2" a="1"/>
  <c r="G34" i="2" s="1"/>
  <c r="G35" i="2" a="1"/>
  <c r="G35" i="2" s="1"/>
  <c r="G36" i="2" a="1"/>
  <c r="G36" i="2" s="1"/>
  <c r="G37" i="2" a="1"/>
  <c r="G37" i="2" s="1"/>
  <c r="G38" i="2" a="1"/>
  <c r="G38" i="2" s="1"/>
  <c r="G39" i="2" a="1"/>
  <c r="G39" i="2" s="1"/>
  <c r="G40" i="2" a="1"/>
  <c r="G40" i="2" s="1"/>
  <c r="G41" i="2" a="1"/>
  <c r="G41" i="2" s="1"/>
  <c r="G42" i="2" a="1"/>
  <c r="G42" i="2" s="1"/>
  <c r="G43" i="2" a="1"/>
  <c r="G43" i="2" s="1"/>
  <c r="G44" i="2" a="1"/>
  <c r="G44" i="2" s="1"/>
  <c r="G45" i="2" a="1"/>
  <c r="G45" i="2" s="1"/>
  <c r="G46" i="2" a="1"/>
  <c r="G46" i="2" s="1"/>
  <c r="G47" i="2" a="1"/>
  <c r="G47" i="2" s="1"/>
  <c r="G48" i="2" a="1"/>
  <c r="G48" i="2" s="1"/>
  <c r="G49" i="2" a="1"/>
  <c r="G49" i="2" s="1"/>
  <c r="G50" i="2" a="1"/>
  <c r="G50" i="2" s="1"/>
  <c r="G51" i="2" a="1"/>
  <c r="G51" i="2" s="1"/>
  <c r="G52" i="2" a="1"/>
  <c r="G52" i="2" s="1"/>
  <c r="G53" i="2" a="1"/>
  <c r="G53" i="2" s="1"/>
  <c r="G54" i="2" a="1"/>
  <c r="G54" i="2" s="1"/>
  <c r="G55" i="2" a="1"/>
  <c r="G55" i="2" s="1"/>
  <c r="G56" i="2" a="1"/>
  <c r="G56" i="2" s="1"/>
  <c r="G57" i="2" a="1"/>
  <c r="G57" i="2" s="1"/>
  <c r="G58" i="2" a="1"/>
  <c r="G58" i="2" s="1"/>
  <c r="G59" i="2" a="1"/>
  <c r="G59" i="2" s="1"/>
  <c r="G60" i="2" a="1"/>
  <c r="G60" i="2" s="1"/>
  <c r="G61" i="2" a="1"/>
  <c r="G61" i="2" s="1"/>
  <c r="G62" i="2" a="1"/>
  <c r="G62" i="2" s="1"/>
  <c r="G63" i="2" a="1"/>
  <c r="G63" i="2" s="1"/>
  <c r="G64" i="2" a="1"/>
  <c r="G64" i="2" s="1"/>
  <c r="G65" i="2" a="1"/>
  <c r="G65" i="2" s="1"/>
  <c r="G66" i="2" a="1"/>
  <c r="G66" i="2" s="1"/>
  <c r="G67" i="2" a="1"/>
  <c r="G67" i="2" s="1"/>
  <c r="G68" i="2" a="1"/>
  <c r="G68" i="2" s="1"/>
  <c r="G69" i="2" a="1"/>
  <c r="G69" i="2" s="1"/>
  <c r="G70" i="2" a="1"/>
  <c r="G70" i="2" s="1"/>
  <c r="G71" i="2" a="1"/>
  <c r="G71" i="2" s="1"/>
  <c r="G72" i="2" a="1"/>
  <c r="G72" i="2" s="1"/>
  <c r="G73" i="2" a="1"/>
  <c r="G73" i="2" s="1"/>
  <c r="G74" i="2" a="1"/>
  <c r="G74" i="2" s="1"/>
  <c r="G75" i="2" a="1"/>
  <c r="G75" i="2" s="1"/>
  <c r="G76" i="2" a="1"/>
  <c r="G76" i="2" s="1"/>
  <c r="G77" i="2" a="1"/>
  <c r="G77" i="2" s="1"/>
  <c r="G78" i="2" a="1"/>
  <c r="G78" i="2" s="1"/>
  <c r="G79" i="2" a="1"/>
  <c r="G79" i="2" s="1"/>
  <c r="G80" i="2" a="1"/>
  <c r="G80" i="2" s="1"/>
  <c r="G81" i="2" a="1"/>
  <c r="G81" i="2" s="1"/>
  <c r="G82" i="2" a="1"/>
  <c r="G82" i="2" s="1"/>
  <c r="G83" i="2" a="1"/>
  <c r="G83" i="2" s="1"/>
  <c r="G84" i="2" a="1"/>
  <c r="G84" i="2" s="1"/>
  <c r="G85" i="2" a="1"/>
  <c r="G85" i="2" s="1"/>
  <c r="G86" i="2" a="1"/>
  <c r="G86" i="2" s="1"/>
  <c r="G87" i="2" a="1"/>
  <c r="G87" i="2" s="1"/>
  <c r="G88" i="2" a="1"/>
  <c r="G88" i="2" s="1"/>
  <c r="G89" i="2" a="1"/>
  <c r="G89" i="2" s="1"/>
  <c r="G90" i="2" a="1"/>
  <c r="G90" i="2" s="1"/>
  <c r="G91" i="2" a="1"/>
  <c r="G91" i="2" s="1"/>
  <c r="G92" i="2" a="1"/>
  <c r="G92" i="2" s="1"/>
  <c r="G93" i="2" a="1"/>
  <c r="G93" i="2" s="1"/>
  <c r="G94" i="2" a="1"/>
  <c r="G94" i="2" s="1"/>
  <c r="G95" i="2" a="1"/>
  <c r="G95" i="2" s="1"/>
  <c r="G96" i="2" a="1"/>
  <c r="G96" i="2" s="1"/>
  <c r="G97" i="2" a="1"/>
  <c r="G97" i="2" s="1"/>
  <c r="G98" i="2" a="1"/>
  <c r="G98" i="2" s="1"/>
  <c r="G99" i="2" a="1"/>
  <c r="G99" i="2" s="1"/>
  <c r="G100" i="2" a="1"/>
  <c r="G100" i="2" s="1"/>
  <c r="G101" i="2" a="1"/>
  <c r="G101" i="2" s="1"/>
  <c r="G102" i="2" a="1"/>
  <c r="G102" i="2" s="1"/>
  <c r="G103" i="2" a="1"/>
  <c r="G103" i="2" s="1"/>
  <c r="G104" i="2" a="1"/>
  <c r="G104" i="2" s="1"/>
  <c r="G105" i="2" a="1"/>
  <c r="G105" i="2" s="1"/>
  <c r="G106" i="2" a="1"/>
  <c r="G106" i="2" s="1"/>
  <c r="G107" i="2" a="1"/>
  <c r="G107" i="2" s="1"/>
  <c r="G108" i="2" a="1"/>
  <c r="G108" i="2" s="1"/>
  <c r="G109" i="2" a="1"/>
  <c r="G109" i="2" s="1"/>
  <c r="G110" i="2" a="1"/>
  <c r="G110" i="2" s="1"/>
  <c r="G111" i="2" a="1"/>
  <c r="G111" i="2" s="1"/>
  <c r="G112" i="2" a="1"/>
  <c r="G112" i="2" s="1"/>
  <c r="G113" i="2" a="1"/>
  <c r="G113" i="2" s="1"/>
  <c r="G114" i="2" a="1"/>
  <c r="G114" i="2" s="1"/>
  <c r="G115" i="2" a="1"/>
  <c r="G115" i="2" s="1"/>
  <c r="G116" i="2" a="1"/>
  <c r="G116" i="2" s="1"/>
  <c r="G117" i="2" a="1"/>
  <c r="G117" i="2" s="1"/>
  <c r="G118" i="2" a="1"/>
  <c r="G118" i="2" s="1"/>
  <c r="G119" i="2" a="1"/>
  <c r="G119" i="2" s="1"/>
  <c r="G120" i="2" a="1"/>
  <c r="G120" i="2" s="1"/>
  <c r="G121" i="2" a="1"/>
  <c r="G121" i="2" s="1"/>
  <c r="G122" i="2" a="1"/>
  <c r="G122" i="2" s="1"/>
  <c r="G123" i="2" a="1"/>
  <c r="G123" i="2" s="1"/>
  <c r="G124" i="2" a="1"/>
  <c r="G124" i="2" s="1"/>
  <c r="G125" i="2" a="1"/>
  <c r="G125" i="2" s="1"/>
  <c r="G126" i="2" a="1"/>
  <c r="G126" i="2" s="1"/>
  <c r="G127" i="2" a="1"/>
  <c r="G127" i="2" s="1"/>
  <c r="G128" i="2" a="1"/>
  <c r="G128" i="2" s="1"/>
  <c r="G129" i="2" a="1"/>
  <c r="G129" i="2" s="1"/>
  <c r="G130" i="2" a="1"/>
  <c r="G130" i="2" s="1"/>
  <c r="G131" i="2" a="1"/>
  <c r="G131" i="2" s="1"/>
  <c r="G132" i="2" a="1"/>
  <c r="G132" i="2" s="1"/>
  <c r="G133" i="2" a="1"/>
  <c r="G133" i="2" s="1"/>
  <c r="G134" i="2" a="1"/>
  <c r="G134" i="2" s="1"/>
  <c r="G135" i="2" a="1"/>
  <c r="G135" i="2" s="1"/>
  <c r="G136" i="2" a="1"/>
  <c r="G136" i="2" s="1"/>
  <c r="G137" i="2" a="1"/>
  <c r="G137" i="2" s="1"/>
  <c r="G138" i="2" a="1"/>
  <c r="G138" i="2" s="1"/>
  <c r="G139" i="2" a="1"/>
  <c r="G139" i="2" s="1"/>
  <c r="G140" i="2" a="1"/>
  <c r="G140" i="2" s="1"/>
  <c r="G141" i="2" a="1"/>
  <c r="G141" i="2" s="1"/>
  <c r="G142" i="2" a="1"/>
  <c r="G142" i="2" s="1"/>
  <c r="G143" i="2" a="1"/>
  <c r="G143" i="2" s="1"/>
  <c r="G144" i="2" a="1"/>
  <c r="G144" i="2" s="1"/>
  <c r="G145" i="2" a="1"/>
  <c r="G145" i="2" s="1"/>
  <c r="G146" i="2" a="1"/>
  <c r="G146" i="2" s="1"/>
  <c r="G147" i="2" a="1"/>
  <c r="G147" i="2" s="1"/>
  <c r="G148" i="2" a="1"/>
  <c r="G148" i="2" s="1"/>
  <c r="G149" i="2" a="1"/>
  <c r="G149" i="2" s="1"/>
  <c r="G150" i="2" a="1"/>
  <c r="G150" i="2" s="1"/>
  <c r="G151" i="2" a="1"/>
  <c r="G151" i="2" s="1"/>
  <c r="G152" i="2" a="1"/>
  <c r="G152" i="2" s="1"/>
  <c r="G153" i="2" a="1"/>
  <c r="G153" i="2" s="1"/>
  <c r="G154" i="2" a="1"/>
  <c r="G154" i="2" s="1"/>
  <c r="G155" i="2" a="1"/>
  <c r="G155" i="2" s="1"/>
  <c r="G156" i="2" a="1"/>
  <c r="G156" i="2" s="1"/>
  <c r="G157" i="2" a="1"/>
  <c r="G157" i="2" s="1"/>
  <c r="G158" i="2" a="1"/>
  <c r="G158" i="2" s="1"/>
  <c r="G159" i="2" a="1"/>
  <c r="G159" i="2" s="1"/>
  <c r="G160" i="2" a="1"/>
  <c r="G160" i="2" s="1"/>
  <c r="G161" i="2" a="1"/>
  <c r="G161" i="2" s="1"/>
  <c r="G162" i="2" a="1"/>
  <c r="G162" i="2" s="1"/>
  <c r="G163" i="2" a="1"/>
  <c r="G163" i="2" s="1"/>
  <c r="G164" i="2" a="1"/>
  <c r="G164" i="2" s="1"/>
  <c r="G165" i="2" a="1"/>
  <c r="G165" i="2" s="1"/>
  <c r="G166" i="2" a="1"/>
  <c r="G166" i="2" s="1"/>
  <c r="G167" i="2" a="1"/>
  <c r="G167" i="2" s="1"/>
  <c r="G168" i="2" a="1"/>
  <c r="G168" i="2" s="1"/>
  <c r="G169" i="2" a="1"/>
  <c r="G169" i="2" s="1"/>
  <c r="G170" i="2" a="1"/>
  <c r="G170" i="2" s="1"/>
  <c r="G171" i="2" a="1"/>
  <c r="G171" i="2" s="1"/>
  <c r="G172" i="2" a="1"/>
  <c r="G172" i="2" s="1"/>
  <c r="G173" i="2" a="1"/>
  <c r="G173" i="2" s="1"/>
  <c r="G174" i="2" a="1"/>
  <c r="G174" i="2" s="1"/>
  <c r="G175" i="2" a="1"/>
  <c r="G175" i="2" s="1"/>
  <c r="G176" i="2" a="1"/>
  <c r="G176" i="2" s="1"/>
  <c r="G177" i="2" a="1"/>
  <c r="G177" i="2" s="1"/>
  <c r="G178" i="2" a="1"/>
  <c r="G178" i="2" s="1"/>
  <c r="G179" i="2" a="1"/>
  <c r="G179" i="2" s="1"/>
  <c r="G180" i="2" a="1"/>
  <c r="G180" i="2" s="1"/>
  <c r="G181" i="2" a="1"/>
  <c r="G181" i="2" s="1"/>
  <c r="G182" i="2" a="1"/>
  <c r="G182" i="2" s="1"/>
  <c r="G183" i="2" a="1"/>
  <c r="G183" i="2" s="1"/>
  <c r="G184" i="2" a="1"/>
  <c r="G184" i="2" s="1"/>
  <c r="G185" i="2" a="1"/>
  <c r="G185" i="2" s="1"/>
  <c r="G186" i="2" a="1"/>
  <c r="G186" i="2" s="1"/>
  <c r="G187" i="2" a="1"/>
  <c r="G187" i="2" s="1"/>
  <c r="G188" i="2" a="1"/>
  <c r="G188" i="2" s="1"/>
  <c r="G189" i="2" a="1"/>
  <c r="G189" i="2" s="1"/>
  <c r="G190" i="2" a="1"/>
  <c r="G190" i="2" s="1"/>
  <c r="G191" i="2" a="1"/>
  <c r="G191" i="2" s="1"/>
  <c r="G192" i="2" a="1"/>
  <c r="G192" i="2" s="1"/>
  <c r="G193" i="2" a="1"/>
  <c r="G193" i="2" s="1"/>
  <c r="G194" i="2" a="1"/>
  <c r="G194" i="2" s="1"/>
  <c r="G195" i="2" a="1"/>
  <c r="G195" i="2" s="1"/>
  <c r="G196" i="2" a="1"/>
  <c r="G196" i="2" s="1"/>
  <c r="G197" i="2" a="1"/>
  <c r="G197" i="2" s="1"/>
  <c r="G198" i="2" a="1"/>
  <c r="G198" i="2" s="1"/>
  <c r="G199" i="2" a="1"/>
  <c r="G199" i="2" s="1"/>
  <c r="G200" i="2" a="1"/>
  <c r="G200" i="2" s="1"/>
  <c r="G201" i="2" a="1"/>
  <c r="G201" i="2" s="1"/>
  <c r="G202" i="2" a="1"/>
  <c r="G202" i="2" s="1"/>
  <c r="G203" i="2" a="1"/>
  <c r="G203" i="2" s="1"/>
  <c r="G204" i="2" a="1"/>
  <c r="G204" i="2" s="1"/>
  <c r="G205" i="2" a="1"/>
  <c r="G205" i="2" s="1"/>
  <c r="G206" i="2" a="1"/>
  <c r="G206" i="2" s="1"/>
  <c r="G207" i="2" a="1"/>
  <c r="G207" i="2" s="1"/>
  <c r="G208" i="2" a="1"/>
  <c r="G208" i="2" s="1"/>
  <c r="G209" i="2" a="1"/>
  <c r="G209" i="2" s="1"/>
  <c r="G210" i="2" a="1"/>
  <c r="G210" i="2" s="1"/>
  <c r="G211" i="2" a="1"/>
  <c r="G211" i="2" s="1"/>
  <c r="G212" i="2" a="1"/>
  <c r="G212" i="2" s="1"/>
  <c r="G213" i="2" a="1"/>
  <c r="G213" i="2" s="1"/>
  <c r="G214" i="2" a="1"/>
  <c r="G214" i="2" s="1"/>
  <c r="G215" i="2" a="1"/>
  <c r="G215" i="2" s="1"/>
  <c r="G216" i="2" a="1"/>
  <c r="G216" i="2" s="1"/>
  <c r="G217" i="2" a="1"/>
  <c r="G217" i="2" s="1"/>
  <c r="G218" i="2" a="1"/>
  <c r="G218" i="2" s="1"/>
  <c r="G219" i="2" a="1"/>
  <c r="G219" i="2" s="1"/>
  <c r="G220" i="2" a="1"/>
  <c r="G220" i="2" s="1"/>
  <c r="G221" i="2" a="1"/>
  <c r="G221" i="2" s="1"/>
  <c r="G222" i="2" a="1"/>
  <c r="G222" i="2" s="1"/>
  <c r="G223" i="2" a="1"/>
  <c r="G223" i="2" s="1"/>
  <c r="G224" i="2" a="1"/>
  <c r="G224" i="2" s="1"/>
  <c r="G225" i="2" a="1"/>
  <c r="G225" i="2" s="1"/>
  <c r="G226" i="2" a="1"/>
  <c r="G226" i="2" s="1"/>
  <c r="G227" i="2" a="1"/>
  <c r="G227" i="2" s="1"/>
  <c r="G228" i="2" a="1"/>
  <c r="G228" i="2" s="1"/>
  <c r="G229" i="2" a="1"/>
  <c r="G229" i="2" s="1"/>
  <c r="G230" i="2" a="1"/>
  <c r="G230" i="2" s="1"/>
  <c r="G231" i="2" a="1"/>
  <c r="G231" i="2" s="1"/>
  <c r="G232" i="2" a="1"/>
  <c r="G232" i="2" s="1"/>
  <c r="G233" i="2" a="1"/>
  <c r="G233" i="2" s="1"/>
  <c r="G234" i="2" a="1"/>
  <c r="G234" i="2" s="1"/>
  <c r="G235" i="2" a="1"/>
  <c r="G235" i="2" s="1"/>
  <c r="G236" i="2" a="1"/>
  <c r="G236" i="2" s="1"/>
  <c r="G237" i="2" a="1"/>
  <c r="G237" i="2" s="1"/>
  <c r="G238" i="2" a="1"/>
  <c r="G238" i="2" s="1"/>
  <c r="G239" i="2" a="1"/>
  <c r="G239" i="2" s="1"/>
  <c r="G240" i="2" a="1"/>
  <c r="G240" i="2" s="1"/>
  <c r="G241" i="2" a="1"/>
  <c r="G241" i="2" s="1"/>
  <c r="G242" i="2" a="1"/>
  <c r="G242" i="2" s="1"/>
  <c r="G243" i="2" a="1"/>
  <c r="G243" i="2" s="1"/>
  <c r="G244" i="2" a="1"/>
  <c r="G244" i="2" s="1"/>
  <c r="G245" i="2" a="1"/>
  <c r="G245" i="2" s="1"/>
  <c r="G246" i="2" a="1"/>
  <c r="G246" i="2" s="1"/>
  <c r="G247" i="2" a="1"/>
  <c r="G247" i="2" s="1"/>
  <c r="G248" i="2" a="1"/>
  <c r="G248" i="2" s="1"/>
  <c r="G249" i="2" a="1"/>
  <c r="G249" i="2" s="1"/>
  <c r="G250" i="2" a="1"/>
  <c r="G250" i="2" s="1"/>
  <c r="G251" i="2" a="1"/>
  <c r="G251" i="2" s="1"/>
  <c r="G252" i="2" a="1"/>
  <c r="G252" i="2" s="1"/>
  <c r="G253" i="2" a="1"/>
  <c r="G253" i="2" s="1"/>
  <c r="A6" i="1"/>
  <c r="A10" i="1"/>
  <c r="D6" i="1"/>
  <c r="B10" i="1" l="1"/>
  <c r="C10" i="1" s="1"/>
  <c r="G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208AF4-DA4B-4170-A8DE-7349628DC217}" keepAlive="1" name="ModelConnection_ExternalData_1" description="Data Model" type="5" refreshedVersion="8" minRefreshableVersion="5" saveData="1">
    <dbPr connection="Data Model Connection" command="KSA Budget" commandType="3"/>
    <extLst>
      <ext xmlns:x15="http://schemas.microsoft.com/office/spreadsheetml/2010/11/main" uri="{DE250136-89BD-433C-8126-D09CA5730AF9}">
        <x15:connection id="" model="1"/>
      </ext>
    </extLst>
  </connection>
  <connection id="2" xr16:uid="{87F3747F-53A6-4FD7-85AA-0A6CB830CAC3}" name="Query - KSA Budget" description="Connection to the 'KSA Budget' query in the workbook." type="100" refreshedVersion="8" minRefreshableVersion="5">
    <extLst>
      <ext xmlns:x15="http://schemas.microsoft.com/office/spreadsheetml/2010/11/main" uri="{DE250136-89BD-433C-8126-D09CA5730AF9}">
        <x15:connection id="c8a2bbfb-b13d-4882-a155-a4206794cf5d"/>
      </ext>
    </extLst>
  </connection>
  <connection id="3" xr16:uid="{8C6E27AE-AD19-4754-9C87-9D0E5B6BC35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<sst xmlns="http://schemas.openxmlformats.org/spreadsheetml/2006/main" count="1047" uniqueCount="63">
  <si>
    <t>الفئة</t>
  </si>
  <si>
    <t>التصنيف</t>
  </si>
  <si>
    <t>النوع</t>
  </si>
  <si>
    <t>السنة</t>
  </si>
  <si>
    <t>الوحدة</t>
  </si>
  <si>
    <t>القيمة</t>
  </si>
  <si>
    <t>الإنفاق على مستوى القطاعات</t>
  </si>
  <si>
    <t xml:space="preserve"> الخدمات البلدية</t>
  </si>
  <si>
    <t>فعلي</t>
  </si>
  <si>
    <t>مليار ريال</t>
  </si>
  <si>
    <t xml:space="preserve"> الموارد الاقتصادية</t>
  </si>
  <si>
    <t xml:space="preserve"> العسكري</t>
  </si>
  <si>
    <t xml:space="preserve"> الصحة والتنمية الاجتماعية</t>
  </si>
  <si>
    <t xml:space="preserve"> التعليم</t>
  </si>
  <si>
    <t xml:space="preserve"> التجهيزات الأساسية والنقل</t>
  </si>
  <si>
    <t xml:space="preserve"> البنود العامة</t>
  </si>
  <si>
    <t xml:space="preserve"> الأمن والمناطق الإدارية</t>
  </si>
  <si>
    <t xml:space="preserve"> الإدارة العامة</t>
  </si>
  <si>
    <t>ميزانية</t>
  </si>
  <si>
    <t>النفقات التشغيلية</t>
  </si>
  <si>
    <t>تعويضات العاملين</t>
  </si>
  <si>
    <t>حركة الاقتراض</t>
  </si>
  <si>
    <t>الإصدارات الخارجية</t>
  </si>
  <si>
    <t>الإصدارات المحلية</t>
  </si>
  <si>
    <t>الاحتياطات الحكومية</t>
  </si>
  <si>
    <t>قيمة الاحتياطات الحكومية</t>
  </si>
  <si>
    <t>الدين العام</t>
  </si>
  <si>
    <t>قيمة الدين العام</t>
  </si>
  <si>
    <t>العجز والفائض</t>
  </si>
  <si>
    <t>عجز</t>
  </si>
  <si>
    <t>الإيرادات الأخرى</t>
  </si>
  <si>
    <t>المؤشرات الاقتصادية</t>
  </si>
  <si>
    <t>قيمة الناتج المحلي الإجمالي الإسمي</t>
  </si>
  <si>
    <t>الإيرادات الضريبية</t>
  </si>
  <si>
    <t>ضرائب أخرى</t>
  </si>
  <si>
    <t>من التجارة والمعاملات الدولية</t>
  </si>
  <si>
    <t>من الدخل والأرباح والمكاسب الرأسمالية</t>
  </si>
  <si>
    <t>من السلع والخدمات</t>
  </si>
  <si>
    <t>الإيرادات النفطية وغير النفطية</t>
  </si>
  <si>
    <t>الإيرادات غير النفطية</t>
  </si>
  <si>
    <t>الإيرادات النفطية</t>
  </si>
  <si>
    <t>اجمالي الإيرادات</t>
  </si>
  <si>
    <t>النفقات الرأسمالية</t>
  </si>
  <si>
    <t>الأصول غير المالية</t>
  </si>
  <si>
    <t>مصروفات أخرى</t>
  </si>
  <si>
    <t>اجمالي النفقات</t>
  </si>
  <si>
    <t>المنافع الاجتماعية</t>
  </si>
  <si>
    <t>المنح</t>
  </si>
  <si>
    <t>الإعانات</t>
  </si>
  <si>
    <t>نفقات تمويل</t>
  </si>
  <si>
    <t>السلع والخدمات</t>
  </si>
  <si>
    <t>فائض</t>
  </si>
  <si>
    <t xml:space="preserve">اجمالي الإيرادات </t>
  </si>
  <si>
    <t>Sum of القيمة</t>
  </si>
  <si>
    <t>التصنيف (groups)</t>
  </si>
  <si>
    <t>Prompts</t>
  </si>
  <si>
    <t>Row Labels</t>
  </si>
  <si>
    <t>Grand Total</t>
  </si>
  <si>
    <t>المنصرف الفعلي</t>
  </si>
  <si>
    <t>Status</t>
  </si>
  <si>
    <t>العجز</t>
  </si>
  <si>
    <t>Text/Cover</t>
  </si>
  <si>
    <t>Text/Len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</si>
</sst>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0.00,,,\ &quot;bl&quot;"/>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0" fillId="0" borderId="0" xfId="0" pivotButton="1"/>
    <xf numFmtId="43" fontId="0" fillId="0" borderId="0" xfId="0" applyNumberFormat="1"/>
    <xf numFmtId="0" fontId="2" fillId="0" borderId="0" xfId="0" applyFont="1"/>
    <xf numFmtId="43" fontId="0" fillId="0" borderId="0" xfId="1" applyFont="1"/>
    <xf numFmtId="0" fontId="0" fillId="0" borderId="0" xfId="0" applyAlignment="1">
      <alignment horizontal="center"/>
    </xf>
    <xf numFmtId="0" fontId="0" fillId="0" borderId="0" xfId="0" applyAlignment="1">
      <alignment horizontal="left"/>
    </xf>
    <xf numFmtId="0" fontId="3" fillId="2" borderId="0" xfId="0" applyFont="1" applyFill="1" applyAlignment="1">
      <alignment horizontal="left"/>
    </xf>
    <xf numFmtId="0" fontId="0" fillId="2" borderId="0" xfId="0" applyFill="1"/>
    <xf numFmtId="164" fontId="2" fillId="0" borderId="0" xfId="1" applyNumberFormat="1" applyFont="1"/>
    <xf numFmtId="0" fontId="0" fillId="3" borderId="0" xfId="0" applyFill="1"/>
    <xf numFmtId="0" fontId="0" fillId="0" borderId="0" xfId="0" applyNumberFormat="1"/>
  </cellXfs>
  <cellStyles count="2">
    <cellStyle name="Comma" xfId="1" builtinId="3"/>
    <cellStyle name="Normal" xfId="0" builtinId="0"/>
  </cellStyles>
  <dxfs count="98">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color theme="1"/>
      </font>
      <border>
        <bottom style="thin">
          <color theme="4"/>
        </bottom>
        <vertical/>
        <horizontal/>
      </border>
    </dxf>
    <dxf>
      <font>
        <color theme="1"/>
      </font>
      <border diagonalUp="0" diagonalDown="0">
        <left/>
        <right/>
        <top/>
        <bottom/>
        <vertical/>
        <horizontal/>
      </border>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s>
  <tableStyles count="1" defaultTableStyle="TableStyleMedium2" defaultPivotStyle="PivotStyleLight16">
    <tableStyle name="SlicerStyleLight1 No Border" pivot="0" table="0" count="10" xr9:uid="{3E20BF2A-F7A9-4DB0-8E29-B269DDC694B4}">
      <tableStyleElement type="wholeTable" dxfId="89"/>
      <tableStyleElement type="headerRow" dxfId="88"/>
    </tableStyle>
  </tableStyles>
  <colors>
    <mruColors>
      <color rgb="FFA83437"/>
      <color rgb="FFB5AA90"/>
      <color rgb="FF7DC0B3"/>
      <color rgb="FF9F9D9B"/>
      <color rgb="FF1EC295"/>
      <color rgb="FF025A61"/>
      <color rgb="FFFFFFC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025A61"/>
              <bgColor rgb="FF025A6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No Bord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[Saudi Arabia Budget Analytics Dashboard (2025Q3).xlsx]Analysis!PivotTable3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25A6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025A61"/>
          </a:solidFill>
          <a:ln w="19050">
            <a:solidFill>
              <a:schemeClr val="lt1"/>
            </a:solidFill>
          </a:ln>
          <a:effectLst/>
        </c:spPr>
        <c:dLbl>
          <c:idx val="0"/>
          <c:layout>
            <c:manualLayout>
              <c:x val="0.10437359811549174"/>
              <c:y val="0.2648891635638568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1EC295"/>
          </a:solidFill>
          <a:ln w="19050">
            <a:solidFill>
              <a:schemeClr val="lt1"/>
            </a:solidFill>
          </a:ln>
          <a:effectLst/>
        </c:spPr>
        <c:dLbl>
          <c:idx val="0"/>
          <c:layout>
            <c:manualLayout>
              <c:x val="-2.3694874851013112E-2"/>
              <c:y val="-0.3168314716474394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Analysis!$B$16</c:f>
              <c:strCache>
                <c:ptCount val="1"/>
                <c:pt idx="0">
                  <c:v>Total</c:v>
                </c:pt>
              </c:strCache>
            </c:strRef>
          </c:tx>
          <c:spPr>
            <a:solidFill>
              <a:srgbClr val="025A61"/>
            </a:solidFill>
          </c:spPr>
          <c:dPt>
            <c:idx val="0"/>
            <c:bubble3D val="0"/>
            <c:spPr>
              <a:solidFill>
                <a:srgbClr val="025A61"/>
              </a:solidFill>
              <a:ln w="19050">
                <a:solidFill>
                  <a:schemeClr val="lt1"/>
                </a:solidFill>
              </a:ln>
              <a:effectLst/>
            </c:spPr>
            <c:extLst>
              <c:ext xmlns:c16="http://schemas.microsoft.com/office/drawing/2014/chart" uri="{C3380CC4-5D6E-409C-BE32-E72D297353CC}">
                <c16:uniqueId val="{00000001-EB40-45FA-AAA5-6F285DB2636E}"/>
              </c:ext>
            </c:extLst>
          </c:dPt>
          <c:dPt>
            <c:idx val="1"/>
            <c:bubble3D val="0"/>
            <c:spPr>
              <a:solidFill>
                <a:srgbClr val="1EC295"/>
              </a:solidFill>
              <a:ln w="19050">
                <a:solidFill>
                  <a:schemeClr val="lt1"/>
                </a:solidFill>
              </a:ln>
              <a:effectLst/>
            </c:spPr>
            <c:extLst>
              <c:ext xmlns:c16="http://schemas.microsoft.com/office/drawing/2014/chart" uri="{C3380CC4-5D6E-409C-BE32-E72D297353CC}">
                <c16:uniqueId val="{00000003-EB40-45FA-AAA5-6F285DB2636E}"/>
              </c:ext>
            </c:extLst>
          </c:dPt>
          <c:dLbls>
            <c:dLbl>
              <c:idx val="0"/>
              <c:layout>
                <c:manualLayout>
                  <c:x val="0.10437359811549174"/>
                  <c:y val="0.264889163563856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B40-45FA-AAA5-6F285DB2636E}"/>
                </c:ext>
              </c:extLst>
            </c:dLbl>
            <c:dLbl>
              <c:idx val="1"/>
              <c:layout>
                <c:manualLayout>
                  <c:x val="-2.3694874851013112E-2"/>
                  <c:y val="-0.3168314716474394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40-45FA-AAA5-6F285DB2636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Analysis!$A$17:$A$19</c:f>
              <c:strCache>
                <c:ptCount val="2"/>
                <c:pt idx="0">
                  <c:v>الإيرادات النفطية</c:v>
                </c:pt>
                <c:pt idx="1">
                  <c:v>الإيرادات غير النفطية</c:v>
                </c:pt>
              </c:strCache>
            </c:strRef>
          </c:cat>
          <c:val>
            <c:numRef>
              <c:f>Analysis!$B$17:$B$19</c:f>
              <c:numCache>
                <c:formatCode>General</c:formatCode>
                <c:ptCount val="2"/>
                <c:pt idx="0">
                  <c:v>757000000000</c:v>
                </c:pt>
                <c:pt idx="1">
                  <c:v>502000000000</c:v>
                </c:pt>
              </c:numCache>
            </c:numRef>
          </c:val>
          <c:extLst>
            <c:ext xmlns:c16="http://schemas.microsoft.com/office/drawing/2014/chart" uri="{C3380CC4-5D6E-409C-BE32-E72D297353CC}">
              <c16:uniqueId val="{00000004-EB40-45FA-AAA5-6F285DB2636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[Saudi Arabia Budget Analytics Dashboard (2025Q3).xlsx]Analysis!PivotTable4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025A61"/>
          </a:solidFill>
          <a:ln w="19050">
            <a:solidFill>
              <a:schemeClr val="lt1"/>
            </a:solidFill>
          </a:ln>
          <a:effectLst/>
        </c:spPr>
        <c:dLbl>
          <c:idx val="0"/>
          <c:layout>
            <c:manualLayout>
              <c:x val="0.10555555555555546"/>
              <c:y val="-0.2314814814814814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1EC295"/>
          </a:solidFill>
          <a:ln w="19050">
            <a:solidFill>
              <a:schemeClr val="lt1"/>
            </a:solidFill>
          </a:ln>
          <a:effectLst/>
        </c:spPr>
        <c:dLbl>
          <c:idx val="0"/>
          <c:layout>
            <c:manualLayout>
              <c:x val="-0.16944444444444451"/>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9F9D9B"/>
          </a:solidFill>
          <a:ln w="19050">
            <a:solidFill>
              <a:schemeClr val="lt1"/>
            </a:solidFill>
          </a:ln>
          <a:effectLst/>
        </c:spPr>
        <c:dLbl>
          <c:idx val="0"/>
          <c:layout>
            <c:manualLayout>
              <c:x val="-0.1305555555555555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7DC0B3"/>
          </a:solidFill>
          <a:ln w="19050">
            <a:solidFill>
              <a:schemeClr val="lt1"/>
            </a:solidFill>
          </a:ln>
          <a:effectLst/>
        </c:spPr>
        <c:dLbl>
          <c:idx val="0"/>
          <c:layout>
            <c:manualLayout>
              <c:x val="-0.18055555555555555"/>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B5AA90"/>
          </a:solidFill>
          <a:ln w="19050">
            <a:solidFill>
              <a:schemeClr val="lt1"/>
            </a:solidFill>
          </a:ln>
          <a:effectLst/>
        </c:spPr>
        <c:dLbl>
          <c:idx val="0"/>
          <c:layout>
            <c:manualLayout>
              <c:x val="-0.22500000000000001"/>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A83437"/>
          </a:solidFill>
          <a:ln w="19050">
            <a:solidFill>
              <a:schemeClr val="lt1"/>
            </a:solidFill>
          </a:ln>
          <a:effectLst/>
        </c:spPr>
        <c:dLbl>
          <c:idx val="0"/>
          <c:layout>
            <c:manualLayout>
              <c:x val="-0.13055555555555556"/>
              <c:y val="-0.1842592592592592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6.6666666666666666E-2"/>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Analysis!$H$14</c:f>
              <c:strCache>
                <c:ptCount val="1"/>
                <c:pt idx="0">
                  <c:v>Total</c:v>
                </c:pt>
              </c:strCache>
            </c:strRef>
          </c:tx>
          <c:dPt>
            <c:idx val="0"/>
            <c:bubble3D val="0"/>
            <c:spPr>
              <a:solidFill>
                <a:srgbClr val="025A61"/>
              </a:solidFill>
              <a:ln w="19050">
                <a:solidFill>
                  <a:schemeClr val="lt1"/>
                </a:solidFill>
              </a:ln>
              <a:effectLst/>
            </c:spPr>
            <c:extLst>
              <c:ext xmlns:c16="http://schemas.microsoft.com/office/drawing/2014/chart" uri="{C3380CC4-5D6E-409C-BE32-E72D297353CC}">
                <c16:uniqueId val="{00000001-105A-4F00-941C-25761349AA13}"/>
              </c:ext>
            </c:extLst>
          </c:dPt>
          <c:dPt>
            <c:idx val="1"/>
            <c:bubble3D val="0"/>
            <c:spPr>
              <a:solidFill>
                <a:srgbClr val="1EC295"/>
              </a:solidFill>
              <a:ln w="19050">
                <a:solidFill>
                  <a:schemeClr val="lt1"/>
                </a:solidFill>
              </a:ln>
              <a:effectLst/>
            </c:spPr>
            <c:extLst>
              <c:ext xmlns:c16="http://schemas.microsoft.com/office/drawing/2014/chart" uri="{C3380CC4-5D6E-409C-BE32-E72D297353CC}">
                <c16:uniqueId val="{00000003-105A-4F00-941C-25761349AA13}"/>
              </c:ext>
            </c:extLst>
          </c:dPt>
          <c:dPt>
            <c:idx val="2"/>
            <c:bubble3D val="0"/>
            <c:spPr>
              <a:solidFill>
                <a:srgbClr val="9F9D9B"/>
              </a:solidFill>
              <a:ln w="19050">
                <a:solidFill>
                  <a:schemeClr val="lt1"/>
                </a:solidFill>
              </a:ln>
              <a:effectLst/>
            </c:spPr>
            <c:extLst>
              <c:ext xmlns:c16="http://schemas.microsoft.com/office/drawing/2014/chart" uri="{C3380CC4-5D6E-409C-BE32-E72D297353CC}">
                <c16:uniqueId val="{00000005-105A-4F00-941C-25761349AA13}"/>
              </c:ext>
            </c:extLst>
          </c:dPt>
          <c:dPt>
            <c:idx val="3"/>
            <c:bubble3D val="0"/>
            <c:spPr>
              <a:solidFill>
                <a:srgbClr val="7DC0B3"/>
              </a:solidFill>
              <a:ln w="19050">
                <a:solidFill>
                  <a:schemeClr val="lt1"/>
                </a:solidFill>
              </a:ln>
              <a:effectLst/>
            </c:spPr>
            <c:extLst>
              <c:ext xmlns:c16="http://schemas.microsoft.com/office/drawing/2014/chart" uri="{C3380CC4-5D6E-409C-BE32-E72D297353CC}">
                <c16:uniqueId val="{00000007-105A-4F00-941C-25761349AA13}"/>
              </c:ext>
            </c:extLst>
          </c:dPt>
          <c:dPt>
            <c:idx val="4"/>
            <c:bubble3D val="0"/>
            <c:spPr>
              <a:solidFill>
                <a:srgbClr val="B5AA90"/>
              </a:solidFill>
              <a:ln w="19050">
                <a:solidFill>
                  <a:schemeClr val="lt1"/>
                </a:solidFill>
              </a:ln>
              <a:effectLst/>
            </c:spPr>
            <c:extLst>
              <c:ext xmlns:c16="http://schemas.microsoft.com/office/drawing/2014/chart" uri="{C3380CC4-5D6E-409C-BE32-E72D297353CC}">
                <c16:uniqueId val="{00000009-105A-4F00-941C-25761349AA13}"/>
              </c:ext>
            </c:extLst>
          </c:dPt>
          <c:dPt>
            <c:idx val="5"/>
            <c:bubble3D val="0"/>
            <c:spPr>
              <a:solidFill>
                <a:srgbClr val="A83437"/>
              </a:solidFill>
              <a:ln w="19050">
                <a:solidFill>
                  <a:schemeClr val="lt1"/>
                </a:solidFill>
              </a:ln>
              <a:effectLst/>
            </c:spPr>
            <c:extLst>
              <c:ext xmlns:c16="http://schemas.microsoft.com/office/drawing/2014/chart" uri="{C3380CC4-5D6E-409C-BE32-E72D297353CC}">
                <c16:uniqueId val="{0000000B-105A-4F00-941C-25761349AA1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05A-4F00-941C-25761349AA13}"/>
              </c:ext>
            </c:extLst>
          </c:dPt>
          <c:dLbls>
            <c:dLbl>
              <c:idx val="0"/>
              <c:layout>
                <c:manualLayout>
                  <c:x val="0.10555555555555546"/>
                  <c:y val="-0.231481481481481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05A-4F00-941C-25761349AA13}"/>
                </c:ext>
              </c:extLst>
            </c:dLbl>
            <c:dLbl>
              <c:idx val="1"/>
              <c:layout>
                <c:manualLayout>
                  <c:x val="-0.16944444444444451"/>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05A-4F00-941C-25761349AA13}"/>
                </c:ext>
              </c:extLst>
            </c:dLbl>
            <c:dLbl>
              <c:idx val="2"/>
              <c:layout>
                <c:manualLayout>
                  <c:x val="-0.13055555555555559"/>
                  <c:y val="-9.2592592592592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05A-4F00-941C-25761349AA13}"/>
                </c:ext>
              </c:extLst>
            </c:dLbl>
            <c:dLbl>
              <c:idx val="3"/>
              <c:layout>
                <c:manualLayout>
                  <c:x val="-0.18055555555555555"/>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05A-4F00-941C-25761349AA13}"/>
                </c:ext>
              </c:extLst>
            </c:dLbl>
            <c:dLbl>
              <c:idx val="4"/>
              <c:layout>
                <c:manualLayout>
                  <c:x val="-0.22500000000000001"/>
                  <c:y val="-0.1805555555555555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05A-4F00-941C-25761349AA13}"/>
                </c:ext>
              </c:extLst>
            </c:dLbl>
            <c:dLbl>
              <c:idx val="5"/>
              <c:layout>
                <c:manualLayout>
                  <c:x val="-0.13055555555555556"/>
                  <c:y val="-0.1842592592592592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05A-4F00-941C-25761349AA13}"/>
                </c:ext>
              </c:extLst>
            </c:dLbl>
            <c:dLbl>
              <c:idx val="6"/>
              <c:layout>
                <c:manualLayout>
                  <c:x val="-6.6666666666666666E-2"/>
                  <c:y val="-0.152777777777777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05A-4F00-941C-25761349AA1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Analysis!$G$15:$G$22</c:f>
              <c:strCache>
                <c:ptCount val="7"/>
                <c:pt idx="0">
                  <c:v>تعويضات العاملين</c:v>
                </c:pt>
                <c:pt idx="1">
                  <c:v>السلع والخدمات</c:v>
                </c:pt>
                <c:pt idx="2">
                  <c:v>الأصول غير المالية</c:v>
                </c:pt>
                <c:pt idx="3">
                  <c:v>المنافع الاجتماعية</c:v>
                </c:pt>
                <c:pt idx="4">
                  <c:v>نفقات تمويل</c:v>
                </c:pt>
                <c:pt idx="5">
                  <c:v>الإعانات</c:v>
                </c:pt>
                <c:pt idx="6">
                  <c:v>المنح</c:v>
                </c:pt>
              </c:strCache>
            </c:strRef>
          </c:cat>
          <c:val>
            <c:numRef>
              <c:f>Analysis!$H$15:$H$22</c:f>
              <c:numCache>
                <c:formatCode>General</c:formatCode>
                <c:ptCount val="7"/>
                <c:pt idx="0">
                  <c:v>562000000000</c:v>
                </c:pt>
                <c:pt idx="1">
                  <c:v>313000000000</c:v>
                </c:pt>
                <c:pt idx="2">
                  <c:v>191000000000</c:v>
                </c:pt>
                <c:pt idx="3">
                  <c:v>101000000000</c:v>
                </c:pt>
                <c:pt idx="4">
                  <c:v>45000000000</c:v>
                </c:pt>
                <c:pt idx="5">
                  <c:v>34000000000</c:v>
                </c:pt>
                <c:pt idx="6">
                  <c:v>4000000000</c:v>
                </c:pt>
              </c:numCache>
            </c:numRef>
          </c:val>
          <c:extLst>
            <c:ext xmlns:c16="http://schemas.microsoft.com/office/drawing/2014/chart" uri="{C3380CC4-5D6E-409C-BE32-E72D297353CC}">
              <c16:uniqueId val="{0000000E-105A-4F00-941C-25761349AA1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19050</xdr:rowOff>
    </xdr:from>
    <xdr:to>
      <xdr:col>3</xdr:col>
      <xdr:colOff>368413</xdr:colOff>
      <xdr:row>19</xdr:row>
      <xdr:rowOff>38262</xdr:rowOff>
    </xdr:to>
    <xdr:pic>
      <xdr:nvPicPr>
        <xdr:cNvPr id="2" name="Picture 1">
          <a:extLst>
            <a:ext uri="{FF2B5EF4-FFF2-40B4-BE49-F238E27FC236}">
              <a16:creationId xmlns:a16="http://schemas.microsoft.com/office/drawing/2014/main" id="{DC274698-4011-CDED-A04C-82CF078417F1}"/>
            </a:ext>
          </a:extLst>
        </xdr:cNvPr>
        <xdr:cNvPicPr>
          <a:picLocks noChangeAspect="1"/>
        </xdr:cNvPicPr>
      </xdr:nvPicPr>
      <xdr:blipFill>
        <a:blip xmlns:r="http://schemas.openxmlformats.org/officeDocument/2006/relationships" r:embed="rId1"/>
        <a:stretch>
          <a:fillRect/>
        </a:stretch>
      </xdr:blipFill>
      <xdr:spPr>
        <a:xfrm>
          <a:off x="0" y="387350"/>
          <a:ext cx="2197213" cy="3149762"/>
        </a:xfrm>
        <a:prstGeom prst="rect">
          <a:avLst/>
        </a:prstGeom>
      </xdr:spPr>
    </xdr:pic>
    <xdr:clientData/>
  </xdr:twoCellAnchor>
  <xdr:twoCellAnchor>
    <xdr:from>
      <xdr:col>3</xdr:col>
      <xdr:colOff>508000</xdr:colOff>
      <xdr:row>2</xdr:row>
      <xdr:rowOff>50800</xdr:rowOff>
    </xdr:from>
    <xdr:to>
      <xdr:col>13</xdr:col>
      <xdr:colOff>171450</xdr:colOff>
      <xdr:row>28</xdr:row>
      <xdr:rowOff>19050</xdr:rowOff>
    </xdr:to>
    <xdr:sp macro="" textlink="">
      <xdr:nvSpPr>
        <xdr:cNvPr id="3" name="TextBox 2">
          <a:extLst>
            <a:ext uri="{FF2B5EF4-FFF2-40B4-BE49-F238E27FC236}">
              <a16:creationId xmlns:a16="http://schemas.microsoft.com/office/drawing/2014/main" id="{98DEECB5-BB26-4215-6FDB-3C073A951A1F}"/>
            </a:ext>
          </a:extLst>
        </xdr:cNvPr>
        <xdr:cNvSpPr txBox="1"/>
      </xdr:nvSpPr>
      <xdr:spPr>
        <a:xfrm>
          <a:off x="2336800" y="419100"/>
          <a:ext cx="5759450" cy="4756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I have a list of groups from Power BI (like the categories shown in a Data Groups panel). I want you to generate an Excel formula using the SWITCH function that reproduces the same grouping logic in Excel.</a:t>
          </a:r>
        </a:p>
        <a:p>
          <a:r>
            <a:rPr lang="en-US"/>
            <a:t>Use this structure:</a:t>
          </a:r>
        </a:p>
        <a:p>
          <a:endParaRPr lang="en-US"/>
        </a:p>
        <a:p>
          <a:r>
            <a:rPr lang="en-US"/>
            <a:t>Use exact text matches for each category name.</a:t>
          </a:r>
        </a:p>
        <a:p>
          <a:r>
            <a:rPr lang="en-US"/>
            <a:t>Assume the value being tested is in cell </a:t>
          </a:r>
          <a:r>
            <a:rPr lang="en-US" b="1"/>
            <a:t>A2</a:t>
          </a:r>
          <a:r>
            <a:rPr lang="en-US"/>
            <a:t>.</a:t>
          </a:r>
        </a:p>
        <a:p>
          <a:r>
            <a:rPr lang="en-US"/>
            <a:t>Output only the final Excel formula.</a:t>
          </a:r>
        </a:p>
        <a:p>
          <a:r>
            <a:rPr lang="en-US"/>
            <a:t>Do not add explanations unless I ask.</a:t>
          </a:r>
        </a:p>
        <a:p>
          <a:r>
            <a:rPr lang="en-US"/>
            <a:t>If the list contains Arabic names, keep them as-is.</a:t>
          </a:r>
        </a:p>
        <a:p>
          <a:r>
            <a:rPr lang="en-US"/>
            <a:t>If some values need to fall under “Other”, set the default result to </a:t>
          </a:r>
          <a:r>
            <a:rPr lang="en-US" sz="1100">
              <a:solidFill>
                <a:schemeClr val="dk1"/>
              </a:solidFill>
              <a:latin typeface="+mn-lt"/>
              <a:ea typeface="+mn-ea"/>
              <a:cs typeface="+mn-cs"/>
            </a:rPr>
            <a:t>"Other"</a:t>
          </a:r>
          <a:r>
            <a:rPr lang="en-US"/>
            <a:t>.</a:t>
          </a:r>
        </a:p>
        <a:p>
          <a:endParaRPr lang="en-US"/>
        </a:p>
        <a:p>
          <a:r>
            <a:rPr lang="en-US"/>
            <a:t>When you receive my list of categories, generate the full SWITCH formula exactly following these instructions.</a:t>
          </a:r>
        </a:p>
        <a:p>
          <a:endParaRPr lang="en-US"/>
        </a:p>
        <a:p>
          <a:r>
            <a:rPr lang="en-US"/>
            <a:t>Output</a:t>
          </a:r>
        </a:p>
        <a:p>
          <a:r>
            <a:rPr lang="en-US"/>
            <a:t>=SWITCH(TRUE(),</a:t>
          </a:r>
        </a:p>
        <a:p>
          <a:r>
            <a:rPr lang="en-US"/>
            <a:t>    OR(A2="</a:t>
          </a:r>
          <a:r>
            <a:rPr lang="ar-LB"/>
            <a:t>الأصول غير المالية"), "الأصول غير المالية",</a:t>
          </a:r>
        </a:p>
        <a:p>
          <a:r>
            <a:rPr lang="ar-LB"/>
            <a:t>    </a:t>
          </a:r>
          <a:r>
            <a:rPr lang="en-US"/>
            <a:t>OR(A2="</a:t>
          </a:r>
          <a:r>
            <a:rPr lang="ar-LB"/>
            <a:t>الإعانات"), "الإعانات",</a:t>
          </a:r>
        </a:p>
        <a:p>
          <a:r>
            <a:rPr lang="ar-LB"/>
            <a:t>    </a:t>
          </a:r>
          <a:r>
            <a:rPr lang="en-US"/>
            <a:t>OR(A2="</a:t>
          </a:r>
          <a:r>
            <a:rPr lang="ar-LB"/>
            <a:t>السلع والخدمات"), "السلع والخدمات",</a:t>
          </a:r>
        </a:p>
        <a:p>
          <a:r>
            <a:rPr lang="ar-LB"/>
            <a:t>    </a:t>
          </a:r>
          <a:r>
            <a:rPr lang="en-US"/>
            <a:t>OR(A2="</a:t>
          </a:r>
          <a:r>
            <a:rPr lang="ar-LB"/>
            <a:t>المنافع الاجتماعية"), "المنافع الاجتماعية",</a:t>
          </a:r>
        </a:p>
        <a:p>
          <a:r>
            <a:rPr lang="ar-LB"/>
            <a:t>    </a:t>
          </a:r>
          <a:r>
            <a:rPr lang="en-US"/>
            <a:t>OR(A2="</a:t>
          </a:r>
          <a:r>
            <a:rPr lang="ar-LB"/>
            <a:t>المنح"), "المنح",</a:t>
          </a:r>
        </a:p>
        <a:p>
          <a:r>
            <a:rPr lang="ar-LB"/>
            <a:t>    </a:t>
          </a:r>
          <a:r>
            <a:rPr lang="en-US"/>
            <a:t>OR(A2="</a:t>
          </a:r>
          <a:r>
            <a:rPr lang="ar-LB"/>
            <a:t>تعويضات العاملين"), "تعويضات العاملين",</a:t>
          </a:r>
        </a:p>
        <a:p>
          <a:r>
            <a:rPr lang="ar-LB"/>
            <a:t>    </a:t>
          </a:r>
          <a:r>
            <a:rPr lang="en-US"/>
            <a:t>OR(A2="</a:t>
          </a:r>
          <a:r>
            <a:rPr lang="ar-LB"/>
            <a:t>مصاريف أخرى"), "مصاريف أخرى",</a:t>
          </a:r>
        </a:p>
        <a:p>
          <a:r>
            <a:rPr lang="ar-LB"/>
            <a:t>    </a:t>
          </a:r>
          <a:r>
            <a:rPr lang="en-US"/>
            <a:t>OR(A2="</a:t>
          </a:r>
          <a:r>
            <a:rPr lang="ar-LB"/>
            <a:t>نفقات تمويل"), "نفقات تمويل",</a:t>
          </a:r>
        </a:p>
        <a:p>
          <a:r>
            <a:rPr lang="ar-LB"/>
            <a:t>    "</a:t>
          </a:r>
          <a:r>
            <a:rPr lang="en-US"/>
            <a:t>Other"</a:t>
          </a:r>
        </a:p>
        <a:p>
          <a:r>
            <a:rPr lang="en-US"/>
            <a:t>)</a:t>
          </a:r>
        </a:p>
        <a:p>
          <a:endParaRPr lang="en-US"/>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546100</xdr:colOff>
      <xdr:row>14</xdr:row>
      <xdr:rowOff>82550</xdr:rowOff>
    </xdr:from>
    <xdr:to>
      <xdr:col>18</xdr:col>
      <xdr:colOff>387350</xdr:colOff>
      <xdr:row>35</xdr:row>
      <xdr:rowOff>147320</xdr:rowOff>
    </xdr:to>
    <xdr:graphicFrame macro="">
      <xdr:nvGraphicFramePr>
        <xdr:cNvPr id="2" name="Chart 1">
          <a:extLst>
            <a:ext uri="{FF2B5EF4-FFF2-40B4-BE49-F238E27FC236}">
              <a16:creationId xmlns:a16="http://schemas.microsoft.com/office/drawing/2014/main" id="{A4530DE2-F949-41BB-9CAD-DB7493351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457200</xdr:colOff>
      <xdr:row>3</xdr:row>
      <xdr:rowOff>69850</xdr:rowOff>
    </xdr:from>
    <xdr:to>
      <xdr:col>18</xdr:col>
      <xdr:colOff>393700</xdr:colOff>
      <xdr:row>10</xdr:row>
      <xdr:rowOff>38100</xdr:rowOff>
    </xdr:to>
    <mc:AlternateContent xmlns:mc="http://schemas.openxmlformats.org/markup-compatibility/2006">
      <mc:Choice xmlns:a14="http://schemas.microsoft.com/office/drawing/2010/main" Requires="a14">
        <xdr:graphicFrame macro="">
          <xdr:nvGraphicFramePr>
            <xdr:cNvPr id="3" name="السنة">
              <a:extLst>
                <a:ext uri="{FF2B5EF4-FFF2-40B4-BE49-F238E27FC236}">
                  <a16:creationId xmlns:a16="http://schemas.microsoft.com/office/drawing/2014/main" id="{C07BF0D7-597F-4BC4-A3A1-489D942C409D}"/>
                </a:ext>
              </a:extLst>
            </xdr:cNvPr>
            <xdr:cNvGraphicFramePr/>
          </xdr:nvGraphicFramePr>
          <xdr:xfrm>
            <a:off x="0" y="0"/>
            <a:ext cx="0" cy="0"/>
          </xdr:xfrm>
          <a:graphic>
            <a:graphicData uri="http://schemas.microsoft.com/office/drawing/2010/slicer">
              <sle:slicer xmlns:sle="http://schemas.microsoft.com/office/drawing/2010/slicer" name="السنة"/>
            </a:graphicData>
          </a:graphic>
        </xdr:graphicFrame>
      </mc:Choice>
      <mc:Fallback>
        <xdr:sp macro="" textlink="">
          <xdr:nvSpPr>
            <xdr:cNvPr id="0" name=""/>
            <xdr:cNvSpPr>
              <a:spLocks noTextEdit="1"/>
            </xdr:cNvSpPr>
          </xdr:nvSpPr>
          <xdr:spPr>
            <a:xfrm>
              <a:off x="5943600" y="622300"/>
              <a:ext cx="54229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152400</xdr:rowOff>
    </xdr:from>
    <xdr:to>
      <xdr:col>2</xdr:col>
      <xdr:colOff>596900</xdr:colOff>
      <xdr:row>10</xdr:row>
      <xdr:rowOff>0</xdr:rowOff>
    </xdr:to>
    <xdr:sp macro="" textlink="Analysis!A6">
      <xdr:nvSpPr>
        <xdr:cNvPr id="6" name="Rectangle: Rounded Corners 5">
          <a:extLst>
            <a:ext uri="{FF2B5EF4-FFF2-40B4-BE49-F238E27FC236}">
              <a16:creationId xmlns:a16="http://schemas.microsoft.com/office/drawing/2014/main" id="{18643D1E-500A-39FD-E1BB-70913904ECF6}"/>
            </a:ext>
          </a:extLst>
        </xdr:cNvPr>
        <xdr:cNvSpPr/>
      </xdr:nvSpPr>
      <xdr:spPr>
        <a:xfrm>
          <a:off x="0" y="889000"/>
          <a:ext cx="1816100" cy="952500"/>
        </a:xfrm>
        <a:prstGeom prst="roundRect">
          <a:avLst>
            <a:gd name="adj" fmla="val 6667"/>
          </a:avLst>
        </a:prstGeom>
        <a:solidFill>
          <a:srgbClr val="025A61"/>
        </a:soli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AC19C68A-4456-46B3-A0FA-D06541C7748D}" type="TxLink">
            <a:rPr lang="en-US" sz="2000" b="1" i="0" u="none" strike="noStrike">
              <a:solidFill>
                <a:schemeClr val="bg1"/>
              </a:solidFill>
              <a:latin typeface="Aptos Narrow"/>
            </a:rPr>
            <a:pPr algn="ctr"/>
            <a:t>1,259.00 bl</a:t>
          </a:fld>
          <a:endParaRPr lang="en-US" sz="2000">
            <a:solidFill>
              <a:schemeClr val="bg1"/>
            </a:solidFill>
          </a:endParaRPr>
        </a:p>
      </xdr:txBody>
    </xdr:sp>
    <xdr:clientData/>
  </xdr:twoCellAnchor>
  <xdr:twoCellAnchor>
    <xdr:from>
      <xdr:col>3</xdr:col>
      <xdr:colOff>180975</xdr:colOff>
      <xdr:row>4</xdr:row>
      <xdr:rowOff>152400</xdr:rowOff>
    </xdr:from>
    <xdr:to>
      <xdr:col>6</xdr:col>
      <xdr:colOff>168275</xdr:colOff>
      <xdr:row>10</xdr:row>
      <xdr:rowOff>0</xdr:rowOff>
    </xdr:to>
    <xdr:sp macro="" textlink="Analysis!D6">
      <xdr:nvSpPr>
        <xdr:cNvPr id="8" name="Rectangle: Rounded Corners 7">
          <a:extLst>
            <a:ext uri="{FF2B5EF4-FFF2-40B4-BE49-F238E27FC236}">
              <a16:creationId xmlns:a16="http://schemas.microsoft.com/office/drawing/2014/main" id="{33794622-1FA6-E93D-4B62-05589ED8A9DB}"/>
            </a:ext>
          </a:extLst>
        </xdr:cNvPr>
        <xdr:cNvSpPr/>
      </xdr:nvSpPr>
      <xdr:spPr>
        <a:xfrm>
          <a:off x="2009775" y="889000"/>
          <a:ext cx="1816100" cy="952500"/>
        </a:xfrm>
        <a:prstGeom prst="roundRect">
          <a:avLst>
            <a:gd name="adj" fmla="val 6667"/>
          </a:avLst>
        </a:prstGeom>
        <a:solidFill>
          <a:srgbClr val="1EC295"/>
        </a:soli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E5702363-8A1C-4671-8B11-7430A2831080}" type="TxLink">
            <a:rPr lang="en-US" sz="2000" b="1" i="0" u="none" strike="noStrike">
              <a:solidFill>
                <a:schemeClr val="bg1"/>
              </a:solidFill>
              <a:latin typeface="Aptos Narrow"/>
            </a:rPr>
            <a:pPr algn="ctr"/>
            <a:t>1,375.00 bl</a:t>
          </a:fld>
          <a:endParaRPr lang="en-US" sz="2000">
            <a:solidFill>
              <a:schemeClr val="bg1"/>
            </a:solidFill>
          </a:endParaRPr>
        </a:p>
      </xdr:txBody>
    </xdr:sp>
    <xdr:clientData/>
  </xdr:twoCellAnchor>
  <xdr:twoCellAnchor>
    <xdr:from>
      <xdr:col>6</xdr:col>
      <xdr:colOff>381000</xdr:colOff>
      <xdr:row>4</xdr:row>
      <xdr:rowOff>152400</xdr:rowOff>
    </xdr:from>
    <xdr:to>
      <xdr:col>9</xdr:col>
      <xdr:colOff>368300</xdr:colOff>
      <xdr:row>10</xdr:row>
      <xdr:rowOff>0</xdr:rowOff>
    </xdr:to>
    <xdr:sp macro="" textlink="Analysis!G6">
      <xdr:nvSpPr>
        <xdr:cNvPr id="9" name="Rectangle: Rounded Corners 8">
          <a:extLst>
            <a:ext uri="{FF2B5EF4-FFF2-40B4-BE49-F238E27FC236}">
              <a16:creationId xmlns:a16="http://schemas.microsoft.com/office/drawing/2014/main" id="{C1781B26-9E40-3955-2560-EB770862C488}"/>
            </a:ext>
          </a:extLst>
        </xdr:cNvPr>
        <xdr:cNvSpPr/>
      </xdr:nvSpPr>
      <xdr:spPr>
        <a:xfrm>
          <a:off x="4038600" y="889000"/>
          <a:ext cx="1816100" cy="952500"/>
        </a:xfrm>
        <a:prstGeom prst="roundRect">
          <a:avLst>
            <a:gd name="adj" fmla="val 6667"/>
          </a:avLst>
        </a:prstGeom>
        <a:solidFill>
          <a:srgbClr val="A83437"/>
        </a:solidFill>
        <a:ln>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15F3C49E-388C-44DF-8D9D-4003B89A604D}" type="TxLink">
            <a:rPr lang="en-US" sz="2000" b="1" i="0" u="none" strike="noStrike">
              <a:solidFill>
                <a:schemeClr val="bg1"/>
              </a:solidFill>
              <a:latin typeface="Aptos Narrow"/>
            </a:rPr>
            <a:pPr algn="ctr"/>
            <a:t>-116.00 bl</a:t>
          </a:fld>
          <a:endParaRPr lang="en-US" sz="2000">
            <a:solidFill>
              <a:schemeClr val="bg1"/>
            </a:solidFill>
          </a:endParaRPr>
        </a:p>
      </xdr:txBody>
    </xdr:sp>
    <xdr:clientData/>
  </xdr:twoCellAnchor>
  <xdr:twoCellAnchor>
    <xdr:from>
      <xdr:col>0</xdr:col>
      <xdr:colOff>234950</xdr:colOff>
      <xdr:row>14</xdr:row>
      <xdr:rowOff>133350</xdr:rowOff>
    </xdr:from>
    <xdr:to>
      <xdr:col>8</xdr:col>
      <xdr:colOff>527050</xdr:colOff>
      <xdr:row>36</xdr:row>
      <xdr:rowOff>13970</xdr:rowOff>
    </xdr:to>
    <xdr:graphicFrame macro="">
      <xdr:nvGraphicFramePr>
        <xdr:cNvPr id="4" name="Chart 3">
          <a:extLst>
            <a:ext uri="{FF2B5EF4-FFF2-40B4-BE49-F238E27FC236}">
              <a16:creationId xmlns:a16="http://schemas.microsoft.com/office/drawing/2014/main" id="{1383F3E5-5639-4927-B1E8-57E34CD3F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146050</xdr:rowOff>
    </xdr:from>
    <xdr:to>
      <xdr:col>8</xdr:col>
      <xdr:colOff>527050</xdr:colOff>
      <xdr:row>13</xdr:row>
      <xdr:rowOff>146050</xdr:rowOff>
    </xdr:to>
    <xdr:sp macro="" textlink="">
      <xdr:nvSpPr>
        <xdr:cNvPr id="10" name="TextBox 9">
          <a:extLst>
            <a:ext uri="{FF2B5EF4-FFF2-40B4-BE49-F238E27FC236}">
              <a16:creationId xmlns:a16="http://schemas.microsoft.com/office/drawing/2014/main" id="{05820F9E-17AA-EA2F-AB48-9FD443EC214A}"/>
            </a:ext>
          </a:extLst>
        </xdr:cNvPr>
        <xdr:cNvSpPr txBox="1"/>
      </xdr:nvSpPr>
      <xdr:spPr>
        <a:xfrm>
          <a:off x="0" y="1987550"/>
          <a:ext cx="5403850" cy="3683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lang="ar-LB" sz="1400" b="0" i="0" baseline="0">
              <a:solidFill>
                <a:schemeClr val="dk1"/>
              </a:solidFill>
              <a:effectLst/>
              <a:latin typeface="+mn-lt"/>
              <a:ea typeface="+mn-ea"/>
              <a:cs typeface="+mn-cs"/>
            </a:rPr>
            <a:t>المنصرف الفعلي</a:t>
          </a:r>
          <a:endParaRPr lang="en-US" sz="1400">
            <a:effectLst/>
          </a:endParaRPr>
        </a:p>
        <a:p>
          <a:pPr algn="ctr"/>
          <a:endParaRPr lang="en-US" sz="1100"/>
        </a:p>
      </xdr:txBody>
    </xdr:sp>
    <xdr:clientData/>
  </xdr:twoCellAnchor>
  <xdr:twoCellAnchor>
    <xdr:from>
      <xdr:col>0</xdr:col>
      <xdr:colOff>123825</xdr:colOff>
      <xdr:row>7</xdr:row>
      <xdr:rowOff>158750</xdr:rowOff>
    </xdr:from>
    <xdr:to>
      <xdr:col>2</xdr:col>
      <xdr:colOff>473075</xdr:colOff>
      <xdr:row>9</xdr:row>
      <xdr:rowOff>88900</xdr:rowOff>
    </xdr:to>
    <xdr:sp macro="" textlink="Analysis!A1">
      <xdr:nvSpPr>
        <xdr:cNvPr id="12" name="TextBox 11">
          <a:extLst>
            <a:ext uri="{FF2B5EF4-FFF2-40B4-BE49-F238E27FC236}">
              <a16:creationId xmlns:a16="http://schemas.microsoft.com/office/drawing/2014/main" id="{77DDFCB6-94F8-78BA-865D-86C0BB3950DC}"/>
            </a:ext>
          </a:extLst>
        </xdr:cNvPr>
        <xdr:cNvSpPr txBox="1"/>
      </xdr:nvSpPr>
      <xdr:spPr>
        <a:xfrm>
          <a:off x="123825" y="1447800"/>
          <a:ext cx="15684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27EAC7-AE5F-4B13-8F38-3990FBC524BD}" type="TxLink">
            <a:rPr lang="ar-LB" sz="1600" b="0" i="0" u="none" strike="noStrike">
              <a:solidFill>
                <a:schemeClr val="bg1"/>
              </a:solidFill>
              <a:latin typeface="Aptos Narrow"/>
            </a:rPr>
            <a:pPr algn="ctr"/>
            <a:t>اجمالي الإيرادات </a:t>
          </a:fld>
          <a:endParaRPr lang="en-US" sz="1400" b="0">
            <a:solidFill>
              <a:schemeClr val="bg1"/>
            </a:solidFill>
          </a:endParaRPr>
        </a:p>
      </xdr:txBody>
    </xdr:sp>
    <xdr:clientData/>
  </xdr:twoCellAnchor>
  <xdr:twoCellAnchor>
    <xdr:from>
      <xdr:col>3</xdr:col>
      <xdr:colOff>304800</xdr:colOff>
      <xdr:row>7</xdr:row>
      <xdr:rowOff>158750</xdr:rowOff>
    </xdr:from>
    <xdr:to>
      <xdr:col>6</xdr:col>
      <xdr:colOff>44450</xdr:colOff>
      <xdr:row>9</xdr:row>
      <xdr:rowOff>88900</xdr:rowOff>
    </xdr:to>
    <xdr:sp macro="" textlink="Analysis!D1">
      <xdr:nvSpPr>
        <xdr:cNvPr id="13" name="TextBox 12">
          <a:extLst>
            <a:ext uri="{FF2B5EF4-FFF2-40B4-BE49-F238E27FC236}">
              <a16:creationId xmlns:a16="http://schemas.microsoft.com/office/drawing/2014/main" id="{FC6C3945-559D-7EDF-FBF8-F9F537A71178}"/>
            </a:ext>
          </a:extLst>
        </xdr:cNvPr>
        <xdr:cNvSpPr txBox="1"/>
      </xdr:nvSpPr>
      <xdr:spPr>
        <a:xfrm>
          <a:off x="2133600" y="1447800"/>
          <a:ext cx="15684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73A82FD-9131-41CA-9E5B-CF5500FBD5BC}" type="TxLink">
            <a:rPr lang="ar-LB" sz="1600" b="0" i="0" u="none" strike="noStrike">
              <a:solidFill>
                <a:schemeClr val="bg1"/>
              </a:solidFill>
              <a:latin typeface="Aptos Narrow"/>
              <a:ea typeface="+mn-ea"/>
              <a:cs typeface="+mn-cs"/>
            </a:rPr>
            <a:pPr marL="0" indent="0" algn="ctr"/>
            <a:t>اجمالي النفقات</a:t>
          </a:fld>
          <a:endParaRPr lang="en-US" sz="1600" b="0" i="0" u="none" strike="noStrike">
            <a:solidFill>
              <a:schemeClr val="bg1"/>
            </a:solidFill>
            <a:latin typeface="Aptos Narrow"/>
            <a:ea typeface="+mn-ea"/>
            <a:cs typeface="+mn-cs"/>
          </a:endParaRPr>
        </a:p>
      </xdr:txBody>
    </xdr:sp>
    <xdr:clientData/>
  </xdr:twoCellAnchor>
  <xdr:twoCellAnchor>
    <xdr:from>
      <xdr:col>6</xdr:col>
      <xdr:colOff>504825</xdr:colOff>
      <xdr:row>7</xdr:row>
      <xdr:rowOff>158750</xdr:rowOff>
    </xdr:from>
    <xdr:to>
      <xdr:col>9</xdr:col>
      <xdr:colOff>244475</xdr:colOff>
      <xdr:row>9</xdr:row>
      <xdr:rowOff>88900</xdr:rowOff>
    </xdr:to>
    <xdr:sp macro="" textlink="Analysis!G1">
      <xdr:nvSpPr>
        <xdr:cNvPr id="14" name="TextBox 13">
          <a:extLst>
            <a:ext uri="{FF2B5EF4-FFF2-40B4-BE49-F238E27FC236}">
              <a16:creationId xmlns:a16="http://schemas.microsoft.com/office/drawing/2014/main" id="{0C2101C6-62C4-5F14-BD88-F1B8832FB7CB}"/>
            </a:ext>
          </a:extLst>
        </xdr:cNvPr>
        <xdr:cNvSpPr txBox="1"/>
      </xdr:nvSpPr>
      <xdr:spPr>
        <a:xfrm>
          <a:off x="4162425" y="1447800"/>
          <a:ext cx="15684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8173AF-172B-4797-BA32-8DDC3BD9E5AD}" type="TxLink">
            <a:rPr lang="ar-LB" sz="1600" b="0" i="0" u="none" strike="noStrike">
              <a:solidFill>
                <a:schemeClr val="bg1"/>
              </a:solidFill>
              <a:latin typeface="Aptos Narrow"/>
              <a:ea typeface="+mn-ea"/>
              <a:cs typeface="+mn-cs"/>
            </a:rPr>
            <a:pPr marL="0" indent="0" algn="ctr"/>
            <a:t>العجز</a:t>
          </a:fld>
          <a:endParaRPr lang="en-US" sz="1600" b="0" i="0" u="none" strike="noStrike">
            <a:solidFill>
              <a:schemeClr val="bg1"/>
            </a:solidFill>
            <a:latin typeface="Aptos Narrow"/>
            <a:ea typeface="+mn-ea"/>
            <a:cs typeface="+mn-cs"/>
          </a:endParaRPr>
        </a:p>
      </xdr:txBody>
    </xdr:sp>
    <xdr:clientData/>
  </xdr:twoCellAnchor>
  <xdr:twoCellAnchor>
    <xdr:from>
      <xdr:col>9</xdr:col>
      <xdr:colOff>476250</xdr:colOff>
      <xdr:row>11</xdr:row>
      <xdr:rowOff>146050</xdr:rowOff>
    </xdr:from>
    <xdr:to>
      <xdr:col>18</xdr:col>
      <xdr:colOff>393700</xdr:colOff>
      <xdr:row>13</xdr:row>
      <xdr:rowOff>146050</xdr:rowOff>
    </xdr:to>
    <xdr:sp macro="" textlink="">
      <xdr:nvSpPr>
        <xdr:cNvPr id="15" name="TextBox 14">
          <a:extLst>
            <a:ext uri="{FF2B5EF4-FFF2-40B4-BE49-F238E27FC236}">
              <a16:creationId xmlns:a16="http://schemas.microsoft.com/office/drawing/2014/main" id="{E1EF0585-2790-44E0-B06B-CE75F4430C0E}"/>
            </a:ext>
          </a:extLst>
        </xdr:cNvPr>
        <xdr:cNvSpPr txBox="1"/>
      </xdr:nvSpPr>
      <xdr:spPr>
        <a:xfrm>
          <a:off x="5962650" y="1987550"/>
          <a:ext cx="5403850" cy="3683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lang="ar-LB" sz="1400" b="0" i="0" baseline="0">
              <a:solidFill>
                <a:schemeClr val="dk1"/>
              </a:solidFill>
              <a:effectLst/>
              <a:latin typeface="+mn-lt"/>
              <a:ea typeface="+mn-ea"/>
              <a:cs typeface="+mn-cs"/>
            </a:rPr>
            <a:t>الإيرادات النفطية وغير النفطية</a:t>
          </a:r>
        </a:p>
      </xdr:txBody>
    </xdr:sp>
    <xdr:clientData/>
  </xdr:twoCellAnchor>
  <xdr:twoCellAnchor>
    <xdr:from>
      <xdr:col>7</xdr:col>
      <xdr:colOff>482600</xdr:colOff>
      <xdr:row>11</xdr:row>
      <xdr:rowOff>146050</xdr:rowOff>
    </xdr:from>
    <xdr:to>
      <xdr:col>11</xdr:col>
      <xdr:colOff>120650</xdr:colOff>
      <xdr:row>13</xdr:row>
      <xdr:rowOff>146050</xdr:rowOff>
    </xdr:to>
    <xdr:sp macro="" textlink="">
      <xdr:nvSpPr>
        <xdr:cNvPr id="16" name="TextBox 15">
          <a:extLst>
            <a:ext uri="{FF2B5EF4-FFF2-40B4-BE49-F238E27FC236}">
              <a16:creationId xmlns:a16="http://schemas.microsoft.com/office/drawing/2014/main" id="{C5AE90D2-AA4A-434D-9E71-03242361CED2}"/>
            </a:ext>
          </a:extLst>
        </xdr:cNvPr>
        <xdr:cNvSpPr txBox="1"/>
      </xdr:nvSpPr>
      <xdr:spPr>
        <a:xfrm>
          <a:off x="4749800" y="1987550"/>
          <a:ext cx="2076450" cy="3683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a:p>
      </xdr:txBody>
    </xdr:sp>
    <xdr:clientData/>
  </xdr:twoCellAnchor>
  <xdr:oneCellAnchor>
    <xdr:from>
      <xdr:col>13</xdr:col>
      <xdr:colOff>49978</xdr:colOff>
      <xdr:row>24</xdr:row>
      <xdr:rowOff>0</xdr:rowOff>
    </xdr:from>
    <xdr:ext cx="1877116" cy="405432"/>
    <xdr:sp macro="" textlink="Analysis!A10">
      <xdr:nvSpPr>
        <xdr:cNvPr id="17" name="TextBox 16">
          <a:extLst>
            <a:ext uri="{FF2B5EF4-FFF2-40B4-BE49-F238E27FC236}">
              <a16:creationId xmlns:a16="http://schemas.microsoft.com/office/drawing/2014/main" id="{9F7F179C-735C-CC84-41A2-7C7F4CA0576B}"/>
            </a:ext>
          </a:extLst>
        </xdr:cNvPr>
        <xdr:cNvSpPr txBox="1"/>
      </xdr:nvSpPr>
      <xdr:spPr>
        <a:xfrm>
          <a:off x="7974778" y="4419600"/>
          <a:ext cx="1877116" cy="405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pPr algn="ctr"/>
          <a:fld id="{41420073-708C-4AC4-B24D-C428387B1FDE}" type="TxLink">
            <a:rPr lang="ar-LB" sz="2000" b="0" i="0" u="none" strike="noStrike">
              <a:solidFill>
                <a:srgbClr val="000000"/>
              </a:solidFill>
              <a:latin typeface="Aptos Narrow"/>
            </a:rPr>
            <a:pPr algn="ctr"/>
            <a:t> </a:t>
          </a:fld>
          <a:endParaRPr lang="en-US" sz="2000"/>
        </a:p>
      </xdr:txBody>
    </xdr:sp>
    <xdr:clientData/>
  </xdr:oneCellAnchor>
  <xdr:twoCellAnchor>
    <xdr:from>
      <xdr:col>10</xdr:col>
      <xdr:colOff>114300</xdr:colOff>
      <xdr:row>0</xdr:row>
      <xdr:rowOff>0</xdr:rowOff>
    </xdr:from>
    <xdr:to>
      <xdr:col>18</xdr:col>
      <xdr:colOff>488950</xdr:colOff>
      <xdr:row>2</xdr:row>
      <xdr:rowOff>127000</xdr:rowOff>
    </xdr:to>
    <xdr:sp macro="" textlink="">
      <xdr:nvSpPr>
        <xdr:cNvPr id="5" name="TextBox 4">
          <a:extLst>
            <a:ext uri="{FF2B5EF4-FFF2-40B4-BE49-F238E27FC236}">
              <a16:creationId xmlns:a16="http://schemas.microsoft.com/office/drawing/2014/main" id="{C2EDF3C5-3BE4-3BBF-3642-3B63B88D2844}"/>
            </a:ext>
          </a:extLst>
        </xdr:cNvPr>
        <xdr:cNvSpPr txBox="1"/>
      </xdr:nvSpPr>
      <xdr:spPr>
        <a:xfrm>
          <a:off x="6210300" y="0"/>
          <a:ext cx="5251450" cy="4953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lang="ar-LB" sz="2400" b="0" i="0" baseline="0">
              <a:solidFill>
                <a:schemeClr val="dk1"/>
              </a:solidFill>
              <a:effectLst/>
              <a:latin typeface="+mn-lt"/>
              <a:ea typeface="+mn-ea"/>
              <a:cs typeface="+mn-cs"/>
            </a:rPr>
            <a:t> ملخص التقرير الربعي لأداء الميزانية</a:t>
          </a:r>
        </a:p>
      </xdr:txBody>
    </xdr:sp>
    <xdr:clientData/>
  </xdr:twoCellAnchor>
  <xdr:twoCellAnchor>
    <xdr:from>
      <xdr:col>16</xdr:col>
      <xdr:colOff>304800</xdr:colOff>
      <xdr:row>23</xdr:row>
      <xdr:rowOff>63500</xdr:rowOff>
    </xdr:from>
    <xdr:to>
      <xdr:col>18</xdr:col>
      <xdr:colOff>546100</xdr:colOff>
      <xdr:row>26</xdr:row>
      <xdr:rowOff>76200</xdr:rowOff>
    </xdr:to>
    <xdr:sp macro="" textlink="Analysis!C10">
      <xdr:nvSpPr>
        <xdr:cNvPr id="18" name="TextBox 17">
          <a:extLst>
            <a:ext uri="{FF2B5EF4-FFF2-40B4-BE49-F238E27FC236}">
              <a16:creationId xmlns:a16="http://schemas.microsoft.com/office/drawing/2014/main" id="{500B805D-0844-6ECD-CCE8-166101B00C75}"/>
            </a:ext>
          </a:extLst>
        </xdr:cNvPr>
        <xdr:cNvSpPr txBox="1"/>
      </xdr:nvSpPr>
      <xdr:spPr>
        <a:xfrm>
          <a:off x="10058400" y="4298950"/>
          <a:ext cx="14605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36034B-2D97-443B-96AA-02D1F47A68F7}" type="TxLink">
            <a:rPr lang="en-US" sz="3200" b="0" i="0" u="none" strike="noStrike">
              <a:solidFill>
                <a:schemeClr val="bg1"/>
              </a:solidFill>
              <a:latin typeface="Aptos Narrow"/>
            </a:rPr>
            <a:t> </a:t>
          </a:fld>
          <a:endParaRPr lang="en-US" sz="32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jielkotob" refreshedDate="45982.412000231481" createdVersion="8" refreshedVersion="8" minRefreshableVersion="3" recordCount="252" xr:uid="{95720760-29E6-4A0F-BC95-F93A8467D6CD}">
  <cacheSource type="worksheet">
    <worksheetSource name="KSA_Budget"/>
  </cacheSource>
  <cacheFields count="7">
    <cacheField name="الفئة" numFmtId="0">
      <sharedItems count="13">
        <s v="الإنفاق على مستوى القطاعات"/>
        <s v="النفقات التشغيلية"/>
        <s v="حركة الاقتراض"/>
        <s v="الاحتياطات الحكومية"/>
        <s v="الدين العام"/>
        <s v="العجز والفائض"/>
        <s v="الإيرادات الأخرى"/>
        <s v="المؤشرات الاقتصادية"/>
        <s v="الإيرادات الضريبية"/>
        <s v="الإيرادات النفطية وغير النفطية"/>
        <s v="اجمالي الإيرادات"/>
        <s v="النفقات الرأسمالية"/>
        <s v="اجمالي النفقات"/>
      </sharedItems>
    </cacheField>
    <cacheField name="التصنيف" numFmtId="0">
      <sharedItems count="33">
        <s v=" الخدمات البلدية"/>
        <s v=" الموارد الاقتصادية"/>
        <s v=" العسكري"/>
        <s v=" الصحة والتنمية الاجتماعية"/>
        <s v=" التعليم"/>
        <s v=" التجهيزات الأساسية والنقل"/>
        <s v=" البنود العامة"/>
        <s v=" الأمن والمناطق الإدارية"/>
        <s v=" الإدارة العامة"/>
        <s v="تعويضات العاملين"/>
        <s v="الإصدارات الخارجية"/>
        <s v="الإصدارات المحلية"/>
        <s v="قيمة الاحتياطات الحكومية"/>
        <s v="قيمة الدين العام"/>
        <s v="عجز"/>
        <s v="الإيرادات الأخرى"/>
        <s v="قيمة الناتج المحلي الإجمالي الإسمي"/>
        <s v="ضرائب أخرى"/>
        <s v="من التجارة والمعاملات الدولية"/>
        <s v="من الدخل والأرباح والمكاسب الرأسمالية"/>
        <s v="من السلع والخدمات"/>
        <s v="الإيرادات غير النفطية"/>
        <s v="الإيرادات النفطية"/>
        <s v="اجمالي الإيرادات"/>
        <s v="الأصول غير المالية"/>
        <s v="مصروفات أخرى"/>
        <s v="اجمالي النفقات"/>
        <s v="المنافع الاجتماعية"/>
        <s v="المنح"/>
        <s v="الإعانات"/>
        <s v="نفقات تمويل"/>
        <s v="السلع والخدمات"/>
        <s v="فائض"/>
      </sharedItems>
    </cacheField>
    <cacheField name="النوع" numFmtId="0">
      <sharedItems/>
    </cacheField>
    <cacheField name="السنة" numFmtId="0">
      <sharedItems containsSemiMixedTypes="0" containsString="0" containsNumber="1" containsInteger="1" minValue="2018" maxValue="2025" count="8">
        <n v="2018"/>
        <n v="2019"/>
        <n v="2020"/>
        <n v="2021"/>
        <n v="2022"/>
        <n v="2023"/>
        <n v="2024"/>
        <n v="2025"/>
      </sharedItems>
    </cacheField>
    <cacheField name="الوحدة" numFmtId="0">
      <sharedItems/>
    </cacheField>
    <cacheField name="القيمة" numFmtId="0">
      <sharedItems containsSemiMixedTypes="0" containsString="0" containsNumber="1" minValue="-293900119900" maxValue="4649267000000"/>
    </cacheField>
    <cacheField name="التصنيف (groups)" numFmtId="0">
      <sharedItems count="8">
        <s v="Other"/>
        <s v="تعويضات العاملين"/>
        <s v="الأصول غير المالية"/>
        <s v="المنافع الاجتماعية"/>
        <s v="المنح"/>
        <s v="الإعانات"/>
        <s v="نفقات تمويل"/>
        <s v="السلع والخدمات"/>
      </sharedItems>
    </cacheField>
  </cacheFields>
  <extLst>
    <ext xmlns:x14="http://schemas.microsoft.com/office/spreadsheetml/2009/9/main" uri="{725AE2AE-9491-48be-B2B4-4EB974FC3084}">
      <x14:pivotCacheDefinition pivotCacheId="599411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x v="0"/>
    <x v="0"/>
    <s v="فعلي"/>
    <x v="0"/>
    <s v="مليار ريال"/>
    <n v="45924000000"/>
    <x v="0"/>
  </r>
  <r>
    <x v="0"/>
    <x v="1"/>
    <s v="فعلي"/>
    <x v="0"/>
    <s v="مليار ريال"/>
    <n v="105085000000"/>
    <x v="0"/>
  </r>
  <r>
    <x v="0"/>
    <x v="2"/>
    <s v="فعلي"/>
    <x v="0"/>
    <s v="مليار ريال"/>
    <n v="242362000000"/>
    <x v="0"/>
  </r>
  <r>
    <x v="0"/>
    <x v="3"/>
    <s v="فعلي"/>
    <x v="0"/>
    <s v="مليار ريال"/>
    <n v="175487000000"/>
    <x v="0"/>
  </r>
  <r>
    <x v="0"/>
    <x v="4"/>
    <s v="فعلي"/>
    <x v="0"/>
    <s v="مليار ريال"/>
    <n v="208993000000"/>
    <x v="0"/>
  </r>
  <r>
    <x v="0"/>
    <x v="5"/>
    <s v="فعلي"/>
    <x v="0"/>
    <s v="مليار ريال"/>
    <n v="48596000000"/>
    <x v="0"/>
  </r>
  <r>
    <x v="0"/>
    <x v="6"/>
    <s v="فعلي"/>
    <x v="0"/>
    <s v="مليار ريال"/>
    <n v="108451000000"/>
    <x v="0"/>
  </r>
  <r>
    <x v="0"/>
    <x v="7"/>
    <s v="فعلي"/>
    <x v="0"/>
    <s v="مليار ريال"/>
    <n v="113437000000"/>
    <x v="0"/>
  </r>
  <r>
    <x v="0"/>
    <x v="8"/>
    <s v="فعلي"/>
    <x v="0"/>
    <s v="مليار ريال"/>
    <n v="31132000000"/>
    <x v="0"/>
  </r>
  <r>
    <x v="0"/>
    <x v="0"/>
    <s v="فعلي"/>
    <x v="1"/>
    <s v="مليار ريال"/>
    <n v="49898000000"/>
    <x v="0"/>
  </r>
  <r>
    <x v="0"/>
    <x v="1"/>
    <s v="فعلي"/>
    <x v="1"/>
    <s v="مليار ريال"/>
    <n v="93527000000"/>
    <x v="0"/>
  </r>
  <r>
    <x v="0"/>
    <x v="8"/>
    <s v="فعلي"/>
    <x v="1"/>
    <s v="مليار ريال"/>
    <n v="30929000000"/>
    <x v="0"/>
  </r>
  <r>
    <x v="0"/>
    <x v="2"/>
    <s v="فعلي"/>
    <x v="1"/>
    <s v="مليار ريال"/>
    <n v="207593000000"/>
    <x v="0"/>
  </r>
  <r>
    <x v="0"/>
    <x v="7"/>
    <s v="فعلي"/>
    <x v="1"/>
    <s v="مليار ريال"/>
    <n v="113687000000"/>
    <x v="0"/>
  </r>
  <r>
    <x v="0"/>
    <x v="6"/>
    <s v="فعلي"/>
    <x v="1"/>
    <s v="مليار ريال"/>
    <n v="112840000000"/>
    <x v="0"/>
  </r>
  <r>
    <x v="0"/>
    <x v="5"/>
    <s v="فعلي"/>
    <x v="1"/>
    <s v="مليار ريال"/>
    <n v="58595000000"/>
    <x v="0"/>
  </r>
  <r>
    <x v="0"/>
    <x v="4"/>
    <s v="فعلي"/>
    <x v="1"/>
    <s v="مليار ريال"/>
    <n v="202050000000"/>
    <x v="0"/>
  </r>
  <r>
    <x v="0"/>
    <x v="3"/>
    <s v="فعلي"/>
    <x v="1"/>
    <s v="مليار ريال"/>
    <n v="190325000000"/>
    <x v="0"/>
  </r>
  <r>
    <x v="0"/>
    <x v="4"/>
    <s v="فعلي"/>
    <x v="2"/>
    <s v="مليار ريال"/>
    <n v="205029000000"/>
    <x v="0"/>
  </r>
  <r>
    <x v="0"/>
    <x v="5"/>
    <s v="فعلي"/>
    <x v="2"/>
    <s v="مليار ريال"/>
    <n v="59685000000"/>
    <x v="0"/>
  </r>
  <r>
    <x v="0"/>
    <x v="6"/>
    <s v="فعلي"/>
    <x v="2"/>
    <s v="مليار ريال"/>
    <n v="156439000000"/>
    <x v="0"/>
  </r>
  <r>
    <x v="0"/>
    <x v="7"/>
    <s v="فعلي"/>
    <x v="2"/>
    <s v="مليار ريال"/>
    <n v="115057000000"/>
    <x v="0"/>
  </r>
  <r>
    <x v="0"/>
    <x v="3"/>
    <s v="فعلي"/>
    <x v="2"/>
    <s v="مليار ريال"/>
    <n v="190372000000"/>
    <x v="0"/>
  </r>
  <r>
    <x v="0"/>
    <x v="8"/>
    <s v="فعلي"/>
    <x v="2"/>
    <s v="مليار ريال"/>
    <n v="36218000000"/>
    <x v="0"/>
  </r>
  <r>
    <x v="0"/>
    <x v="2"/>
    <s v="فعلي"/>
    <x v="2"/>
    <s v="مليار ريال"/>
    <n v="204125000000"/>
    <x v="0"/>
  </r>
  <r>
    <x v="0"/>
    <x v="1"/>
    <s v="فعلي"/>
    <x v="2"/>
    <s v="مليار ريال"/>
    <n v="61463000000"/>
    <x v="0"/>
  </r>
  <r>
    <x v="0"/>
    <x v="0"/>
    <s v="فعلي"/>
    <x v="2"/>
    <s v="مليار ريال"/>
    <n v="47347000000"/>
    <x v="0"/>
  </r>
  <r>
    <x v="0"/>
    <x v="1"/>
    <s v="فعلي"/>
    <x v="3"/>
    <s v="مليار ريال"/>
    <n v="71067767790"/>
    <x v="0"/>
  </r>
  <r>
    <x v="0"/>
    <x v="8"/>
    <s v="فعلي"/>
    <x v="3"/>
    <s v="مليار ريال"/>
    <n v="34165296800"/>
    <x v="0"/>
  </r>
  <r>
    <x v="0"/>
    <x v="2"/>
    <s v="فعلي"/>
    <x v="3"/>
    <s v="مليار ريال"/>
    <n v="201891102800"/>
    <x v="0"/>
  </r>
  <r>
    <x v="0"/>
    <x v="7"/>
    <s v="فعلي"/>
    <x v="3"/>
    <s v="مليار ريال"/>
    <n v="106485949500"/>
    <x v="0"/>
  </r>
  <r>
    <x v="0"/>
    <x v="3"/>
    <s v="فعلي"/>
    <x v="3"/>
    <s v="مليار ريال"/>
    <n v="197199563600"/>
    <x v="0"/>
  </r>
  <r>
    <x v="0"/>
    <x v="6"/>
    <s v="فعلي"/>
    <x v="3"/>
    <s v="مليار ريال"/>
    <n v="146659319000"/>
    <x v="0"/>
  </r>
  <r>
    <x v="0"/>
    <x v="0"/>
    <s v="فعلي"/>
    <x v="3"/>
    <s v="مليار ريال"/>
    <n v="38562739970"/>
    <x v="0"/>
  </r>
  <r>
    <x v="0"/>
    <x v="5"/>
    <s v="فعلي"/>
    <x v="3"/>
    <s v="مليار ريال"/>
    <n v="50993087810"/>
    <x v="0"/>
  </r>
  <r>
    <x v="0"/>
    <x v="4"/>
    <s v="فعلي"/>
    <x v="3"/>
    <s v="مليار ريال"/>
    <n v="191908247800"/>
    <x v="0"/>
  </r>
  <r>
    <x v="0"/>
    <x v="4"/>
    <s v="فعلي"/>
    <x v="4"/>
    <s v="مليار ريال"/>
    <n v="201522810800"/>
    <x v="0"/>
  </r>
  <r>
    <x v="0"/>
    <x v="5"/>
    <s v="فعلي"/>
    <x v="4"/>
    <s v="مليار ريال"/>
    <n v="41414265420"/>
    <x v="0"/>
  </r>
  <r>
    <x v="0"/>
    <x v="0"/>
    <s v="فعلي"/>
    <x v="4"/>
    <s v="مليار ريال"/>
    <n v="75447674180"/>
    <x v="0"/>
  </r>
  <r>
    <x v="0"/>
    <x v="6"/>
    <s v="فعلي"/>
    <x v="4"/>
    <s v="مليار ريال"/>
    <n v="159136981000"/>
    <x v="0"/>
  </r>
  <r>
    <x v="0"/>
    <x v="3"/>
    <s v="فعلي"/>
    <x v="4"/>
    <s v="مليار ريال"/>
    <n v="226636960500"/>
    <x v="0"/>
  </r>
  <r>
    <x v="0"/>
    <x v="7"/>
    <s v="فعلي"/>
    <x v="4"/>
    <s v="مليار ريال"/>
    <n v="114695871200"/>
    <x v="0"/>
  </r>
  <r>
    <x v="0"/>
    <x v="2"/>
    <s v="فعلي"/>
    <x v="4"/>
    <s v="مليار ريال"/>
    <n v="228067427400"/>
    <x v="0"/>
  </r>
  <r>
    <x v="0"/>
    <x v="8"/>
    <s v="فعلي"/>
    <x v="4"/>
    <s v="مليار ريال"/>
    <n v="40867433700"/>
    <x v="0"/>
  </r>
  <r>
    <x v="0"/>
    <x v="1"/>
    <s v="فعلي"/>
    <x v="4"/>
    <s v="مليار ريال"/>
    <n v="76519419080"/>
    <x v="0"/>
  </r>
  <r>
    <x v="0"/>
    <x v="2"/>
    <s v="فعلي"/>
    <x v="5"/>
    <s v="مليار ريال"/>
    <n v="254476910900"/>
    <x v="0"/>
  </r>
  <r>
    <x v="0"/>
    <x v="5"/>
    <s v="فعلي"/>
    <x v="5"/>
    <s v="مليار ريال"/>
    <n v="40460070930"/>
    <x v="0"/>
  </r>
  <r>
    <x v="0"/>
    <x v="1"/>
    <s v="فعلي"/>
    <x v="5"/>
    <s v="مليار ريال"/>
    <n v="85412124060"/>
    <x v="0"/>
  </r>
  <r>
    <x v="0"/>
    <x v="8"/>
    <s v="فعلي"/>
    <x v="5"/>
    <s v="مليار ريال"/>
    <n v="47925513330"/>
    <x v="0"/>
  </r>
  <r>
    <x v="0"/>
    <x v="7"/>
    <s v="فعلي"/>
    <x v="5"/>
    <s v="مليار ريال"/>
    <n v="114384358600"/>
    <x v="0"/>
  </r>
  <r>
    <x v="0"/>
    <x v="3"/>
    <s v="فعلي"/>
    <x v="5"/>
    <s v="مليار ريال"/>
    <n v="255902810900"/>
    <x v="0"/>
  </r>
  <r>
    <x v="0"/>
    <x v="6"/>
    <s v="فعلي"/>
    <x v="5"/>
    <s v="مليار ريال"/>
    <n v="207750110200"/>
    <x v="0"/>
  </r>
  <r>
    <x v="0"/>
    <x v="0"/>
    <s v="فعلي"/>
    <x v="5"/>
    <s v="مليار ريال"/>
    <n v="76992396060"/>
    <x v="0"/>
  </r>
  <r>
    <x v="0"/>
    <x v="4"/>
    <s v="فعلي"/>
    <x v="5"/>
    <s v="مليار ريال"/>
    <n v="209931796800"/>
    <x v="0"/>
  </r>
  <r>
    <x v="0"/>
    <x v="5"/>
    <s v="فعلي"/>
    <x v="6"/>
    <s v="مليار ريال"/>
    <n v="44143000000"/>
    <x v="0"/>
  </r>
  <r>
    <x v="0"/>
    <x v="4"/>
    <s v="فعلي"/>
    <x v="6"/>
    <s v="مليار ريال"/>
    <n v="203665000000"/>
    <x v="0"/>
  </r>
  <r>
    <x v="0"/>
    <x v="6"/>
    <s v="فعلي"/>
    <x v="6"/>
    <s v="مليار ريال"/>
    <n v="227681000000"/>
    <x v="0"/>
  </r>
  <r>
    <x v="0"/>
    <x v="0"/>
    <s v="فعلي"/>
    <x v="6"/>
    <s v="مليار ريال"/>
    <n v="116399000000"/>
    <x v="0"/>
  </r>
  <r>
    <x v="0"/>
    <x v="7"/>
    <s v="فعلي"/>
    <x v="6"/>
    <s v="مليار ريال"/>
    <n v="126853000000"/>
    <x v="0"/>
  </r>
  <r>
    <x v="0"/>
    <x v="3"/>
    <s v="فعلي"/>
    <x v="6"/>
    <s v="مليار ريال"/>
    <n v="272673999999.99997"/>
    <x v="0"/>
  </r>
  <r>
    <x v="0"/>
    <x v="8"/>
    <s v="فعلي"/>
    <x v="6"/>
    <s v="مليار ريال"/>
    <n v="53895000000"/>
    <x v="0"/>
  </r>
  <r>
    <x v="0"/>
    <x v="2"/>
    <s v="فعلي"/>
    <x v="6"/>
    <s v="مليار ريال"/>
    <n v="236664000000"/>
    <x v="0"/>
  </r>
  <r>
    <x v="0"/>
    <x v="1"/>
    <s v="فعلي"/>
    <x v="6"/>
    <s v="مليار ريال"/>
    <n v="92744000000"/>
    <x v="0"/>
  </r>
  <r>
    <x v="0"/>
    <x v="1"/>
    <s v="ميزانية"/>
    <x v="7"/>
    <s v="مليار ريال"/>
    <n v="86832637270"/>
    <x v="0"/>
  </r>
  <r>
    <x v="0"/>
    <x v="2"/>
    <s v="ميزانية"/>
    <x v="7"/>
    <s v="مليار ريال"/>
    <n v="272347225900"/>
    <x v="0"/>
  </r>
  <r>
    <x v="0"/>
    <x v="3"/>
    <s v="ميزانية"/>
    <x v="7"/>
    <s v="مليار ريال"/>
    <n v="259846483900"/>
    <x v="0"/>
  </r>
  <r>
    <x v="0"/>
    <x v="0"/>
    <s v="ميزانية"/>
    <x v="7"/>
    <s v="مليار ريال"/>
    <n v="64845852290"/>
    <x v="0"/>
  </r>
  <r>
    <x v="0"/>
    <x v="4"/>
    <s v="ميزانية"/>
    <x v="7"/>
    <s v="مليار ريال"/>
    <n v="201124941700"/>
    <x v="0"/>
  </r>
  <r>
    <x v="0"/>
    <x v="8"/>
    <s v="ميزانية"/>
    <x v="7"/>
    <s v="مليار ريال"/>
    <n v="44358142850"/>
    <x v="0"/>
  </r>
  <r>
    <x v="0"/>
    <x v="7"/>
    <s v="ميزانية"/>
    <x v="7"/>
    <s v="مليار ريال"/>
    <n v="121251331500"/>
    <x v="0"/>
  </r>
  <r>
    <x v="0"/>
    <x v="6"/>
    <s v="ميزانية"/>
    <x v="7"/>
    <s v="مليار ريال"/>
    <n v="192464265600"/>
    <x v="0"/>
  </r>
  <r>
    <x v="0"/>
    <x v="5"/>
    <s v="ميزانية"/>
    <x v="7"/>
    <s v="مليار ريال"/>
    <n v="41929118860"/>
    <x v="0"/>
  </r>
  <r>
    <x v="1"/>
    <x v="9"/>
    <s v="فعلي"/>
    <x v="0"/>
    <s v="مليار ريال"/>
    <n v="483542000000"/>
    <x v="1"/>
  </r>
  <r>
    <x v="2"/>
    <x v="10"/>
    <s v="فعلي"/>
    <x v="0"/>
    <s v="مليار ريال"/>
    <n v="71250000000"/>
    <x v="0"/>
  </r>
  <r>
    <x v="2"/>
    <x v="11"/>
    <s v="فعلي"/>
    <x v="0"/>
    <s v="مليار ريال"/>
    <n v="48750000000"/>
    <x v="0"/>
  </r>
  <r>
    <x v="3"/>
    <x v="12"/>
    <s v="فعلي"/>
    <x v="0"/>
    <s v="مليار ريال"/>
    <n v="490000000000"/>
    <x v="0"/>
  </r>
  <r>
    <x v="4"/>
    <x v="13"/>
    <s v="فعلي"/>
    <x v="0"/>
    <s v="مليار ريال"/>
    <n v="560000000000"/>
    <x v="0"/>
  </r>
  <r>
    <x v="5"/>
    <x v="14"/>
    <s v="فعلي"/>
    <x v="0"/>
    <s v="مليار ريال"/>
    <n v="-173858000000"/>
    <x v="0"/>
  </r>
  <r>
    <x v="6"/>
    <x v="15"/>
    <s v="فعلي"/>
    <x v="0"/>
    <s v="مليار ريال"/>
    <n v="737410400000"/>
    <x v="0"/>
  </r>
  <r>
    <x v="7"/>
    <x v="16"/>
    <s v="فعلي"/>
    <x v="0"/>
    <s v="مليار ريال"/>
    <n v="3324619000000"/>
    <x v="0"/>
  </r>
  <r>
    <x v="8"/>
    <x v="17"/>
    <s v="فعلي"/>
    <x v="0"/>
    <s v="مليار ريال"/>
    <n v="20538000000"/>
    <x v="0"/>
  </r>
  <r>
    <x v="8"/>
    <x v="18"/>
    <s v="فعلي"/>
    <x v="0"/>
    <s v="مليار ريال"/>
    <n v="16149999999.999998"/>
    <x v="0"/>
  </r>
  <r>
    <x v="8"/>
    <x v="19"/>
    <s v="فعلي"/>
    <x v="0"/>
    <s v="مليار ريال"/>
    <n v="16523000000"/>
    <x v="0"/>
  </r>
  <r>
    <x v="8"/>
    <x v="20"/>
    <s v="فعلي"/>
    <x v="0"/>
    <s v="مليار ريال"/>
    <n v="114988000000"/>
    <x v="0"/>
  </r>
  <r>
    <x v="9"/>
    <x v="21"/>
    <s v="فعلي"/>
    <x v="0"/>
    <s v="مليار ريال"/>
    <n v="294000000000"/>
    <x v="0"/>
  </r>
  <r>
    <x v="9"/>
    <x v="22"/>
    <s v="فعلي"/>
    <x v="0"/>
    <s v="مليار ريال"/>
    <n v="611239000000"/>
    <x v="0"/>
  </r>
  <r>
    <x v="10"/>
    <x v="23"/>
    <s v="فعلي"/>
    <x v="0"/>
    <s v="مليار ريال"/>
    <n v="905598000000"/>
    <x v="0"/>
  </r>
  <r>
    <x v="11"/>
    <x v="24"/>
    <s v="فعلي"/>
    <x v="0"/>
    <s v="مليار ريال"/>
    <n v="188320200000"/>
    <x v="2"/>
  </r>
  <r>
    <x v="1"/>
    <x v="25"/>
    <s v="فعلي"/>
    <x v="0"/>
    <s v="مليار ريال"/>
    <n v="122187900000"/>
    <x v="0"/>
  </r>
  <r>
    <x v="12"/>
    <x v="26"/>
    <s v="فعلي"/>
    <x v="0"/>
    <s v="مليار ريال"/>
    <n v="1079467281000"/>
    <x v="0"/>
  </r>
  <r>
    <x v="1"/>
    <x v="27"/>
    <s v="فعلي"/>
    <x v="0"/>
    <s v="مليار ريال"/>
    <n v="84337700000"/>
    <x v="3"/>
  </r>
  <r>
    <x v="1"/>
    <x v="28"/>
    <s v="فعلي"/>
    <x v="0"/>
    <s v="مليار ريال"/>
    <n v="4284719000"/>
    <x v="4"/>
  </r>
  <r>
    <x v="1"/>
    <x v="29"/>
    <s v="فعلي"/>
    <x v="0"/>
    <s v="مليار ريال"/>
    <n v="12886100000"/>
    <x v="5"/>
  </r>
  <r>
    <x v="1"/>
    <x v="30"/>
    <s v="فعلي"/>
    <x v="0"/>
    <s v="مليار ريال"/>
    <n v="15001369000"/>
    <x v="6"/>
  </r>
  <r>
    <x v="1"/>
    <x v="31"/>
    <s v="فعلي"/>
    <x v="0"/>
    <s v="مليار ريال"/>
    <n v="168906000000"/>
    <x v="7"/>
  </r>
  <r>
    <x v="8"/>
    <x v="20"/>
    <s v="فعلي"/>
    <x v="1"/>
    <s v="مليار ريال"/>
    <n v="155414000000"/>
    <x v="0"/>
  </r>
  <r>
    <x v="11"/>
    <x v="24"/>
    <s v="فعلي"/>
    <x v="1"/>
    <s v="مليار ريال"/>
    <n v="169449000000"/>
    <x v="2"/>
  </r>
  <r>
    <x v="5"/>
    <x v="14"/>
    <s v="فعلي"/>
    <x v="1"/>
    <s v="مليار ريال"/>
    <n v="-132600000000"/>
    <x v="0"/>
  </r>
  <r>
    <x v="9"/>
    <x v="22"/>
    <s v="فعلي"/>
    <x v="1"/>
    <s v="مليار ريال"/>
    <n v="594424000000"/>
    <x v="0"/>
  </r>
  <r>
    <x v="6"/>
    <x v="15"/>
    <s v="فعلي"/>
    <x v="1"/>
    <s v="مليار ريال"/>
    <n v="706746500000"/>
    <x v="0"/>
  </r>
  <r>
    <x v="4"/>
    <x v="13"/>
    <s v="فعلي"/>
    <x v="1"/>
    <s v="مليار ريال"/>
    <n v="678000000000"/>
    <x v="0"/>
  </r>
  <r>
    <x v="2"/>
    <x v="10"/>
    <s v="فعلي"/>
    <x v="1"/>
    <s v="مليار ريال"/>
    <n v="50161000000"/>
    <x v="0"/>
  </r>
  <r>
    <x v="9"/>
    <x v="21"/>
    <s v="فعلي"/>
    <x v="1"/>
    <s v="مليار ريال"/>
    <n v="332000000000"/>
    <x v="0"/>
  </r>
  <r>
    <x v="8"/>
    <x v="17"/>
    <s v="فعلي"/>
    <x v="1"/>
    <s v="مليار ريال"/>
    <n v="30104300000"/>
    <x v="0"/>
  </r>
  <r>
    <x v="3"/>
    <x v="12"/>
    <s v="فعلي"/>
    <x v="1"/>
    <s v="مليار ريال"/>
    <n v="470000000000"/>
    <x v="0"/>
  </r>
  <r>
    <x v="7"/>
    <x v="16"/>
    <s v="فعلي"/>
    <x v="1"/>
    <s v="مليار ريال"/>
    <n v="3333338000000"/>
    <x v="0"/>
  </r>
  <r>
    <x v="12"/>
    <x v="26"/>
    <s v="فعلي"/>
    <x v="1"/>
    <s v="مليار ريال"/>
    <n v="1059444000000"/>
    <x v="0"/>
  </r>
  <r>
    <x v="2"/>
    <x v="11"/>
    <s v="فعلي"/>
    <x v="1"/>
    <s v="مليار ريال"/>
    <n v="69839000000"/>
    <x v="0"/>
  </r>
  <r>
    <x v="1"/>
    <x v="9"/>
    <s v="فعلي"/>
    <x v="1"/>
    <s v="مليار ريال"/>
    <n v="505029500000"/>
    <x v="1"/>
  </r>
  <r>
    <x v="1"/>
    <x v="31"/>
    <s v="فعلي"/>
    <x v="1"/>
    <s v="مليار ريال"/>
    <n v="160964000000"/>
    <x v="7"/>
  </r>
  <r>
    <x v="1"/>
    <x v="30"/>
    <s v="فعلي"/>
    <x v="1"/>
    <s v="مليار ريال"/>
    <n v="21132390000"/>
    <x v="6"/>
  </r>
  <r>
    <x v="1"/>
    <x v="29"/>
    <s v="فعلي"/>
    <x v="1"/>
    <s v="مليار ريال"/>
    <n v="23206600000"/>
    <x v="5"/>
  </r>
  <r>
    <x v="1"/>
    <x v="28"/>
    <s v="فعلي"/>
    <x v="1"/>
    <s v="مليار ريال"/>
    <n v="1008281999.9999999"/>
    <x v="4"/>
  </r>
  <r>
    <x v="1"/>
    <x v="27"/>
    <s v="فعلي"/>
    <x v="1"/>
    <s v="مليار ريال"/>
    <n v="82128200000"/>
    <x v="3"/>
  </r>
  <r>
    <x v="1"/>
    <x v="25"/>
    <s v="فعلي"/>
    <x v="1"/>
    <s v="مليار ريال"/>
    <n v="96526100000"/>
    <x v="0"/>
  </r>
  <r>
    <x v="8"/>
    <x v="18"/>
    <s v="فعلي"/>
    <x v="1"/>
    <s v="مليار ريال"/>
    <n v="17375900000"/>
    <x v="0"/>
  </r>
  <r>
    <x v="8"/>
    <x v="19"/>
    <s v="فعلي"/>
    <x v="1"/>
    <s v="مليار ريال"/>
    <n v="17204100000"/>
    <x v="0"/>
  </r>
  <r>
    <x v="10"/>
    <x v="23"/>
    <s v="فعلي"/>
    <x v="1"/>
    <s v="مليار ريال"/>
    <n v="926844400000"/>
    <x v="0"/>
  </r>
  <r>
    <x v="8"/>
    <x v="20"/>
    <s v="فعلي"/>
    <x v="2"/>
    <s v="مليار ريال"/>
    <n v="163345988600"/>
    <x v="0"/>
  </r>
  <r>
    <x v="10"/>
    <x v="23"/>
    <s v="فعلي"/>
    <x v="2"/>
    <s v="مليار ريال"/>
    <n v="781833877200"/>
    <x v="0"/>
  </r>
  <r>
    <x v="1"/>
    <x v="25"/>
    <s v="فعلي"/>
    <x v="2"/>
    <s v="مليار ريال"/>
    <n v="96745328860"/>
    <x v="0"/>
  </r>
  <r>
    <x v="1"/>
    <x v="27"/>
    <s v="فعلي"/>
    <x v="2"/>
    <s v="مليار ريال"/>
    <n v="69308557830"/>
    <x v="3"/>
  </r>
  <r>
    <x v="1"/>
    <x v="28"/>
    <s v="فعلي"/>
    <x v="2"/>
    <s v="مليار ريال"/>
    <n v="4410343024"/>
    <x v="4"/>
  </r>
  <r>
    <x v="8"/>
    <x v="19"/>
    <s v="فعلي"/>
    <x v="2"/>
    <s v="مليار ريال"/>
    <n v="18109222360"/>
    <x v="0"/>
  </r>
  <r>
    <x v="1"/>
    <x v="29"/>
    <s v="فعلي"/>
    <x v="2"/>
    <s v="مليار ريال"/>
    <n v="27841991280"/>
    <x v="5"/>
  </r>
  <r>
    <x v="7"/>
    <x v="16"/>
    <s v="فعلي"/>
    <x v="2"/>
    <s v="مليار ريال"/>
    <n v="2879817000000"/>
    <x v="0"/>
  </r>
  <r>
    <x v="1"/>
    <x v="30"/>
    <s v="فعلي"/>
    <x v="2"/>
    <s v="مليار ريال"/>
    <n v="24457019330"/>
    <x v="6"/>
  </r>
  <r>
    <x v="1"/>
    <x v="31"/>
    <s v="فعلي"/>
    <x v="2"/>
    <s v="مليار ريال"/>
    <n v="203177058500"/>
    <x v="7"/>
  </r>
  <r>
    <x v="1"/>
    <x v="9"/>
    <s v="فعلي"/>
    <x v="2"/>
    <s v="مليار ريال"/>
    <n v="494706079200"/>
    <x v="1"/>
  </r>
  <r>
    <x v="8"/>
    <x v="18"/>
    <s v="فعلي"/>
    <x v="2"/>
    <s v="مليار ريال"/>
    <n v="17778754350"/>
    <x v="0"/>
  </r>
  <r>
    <x v="12"/>
    <x v="26"/>
    <s v="فعلي"/>
    <x v="2"/>
    <s v="مليار ريال"/>
    <n v="1075733964999.9999"/>
    <x v="0"/>
  </r>
  <r>
    <x v="3"/>
    <x v="12"/>
    <s v="فعلي"/>
    <x v="2"/>
    <s v="مليار ريال"/>
    <n v="359000000000"/>
    <x v="0"/>
  </r>
  <r>
    <x v="9"/>
    <x v="21"/>
    <s v="فعلي"/>
    <x v="2"/>
    <s v="مليار ريال"/>
    <n v="369000000000"/>
    <x v="0"/>
  </r>
  <r>
    <x v="2"/>
    <x v="11"/>
    <s v="فعلي"/>
    <x v="2"/>
    <s v="مليار ريال"/>
    <n v="174253000000"/>
    <x v="0"/>
  </r>
  <r>
    <x v="8"/>
    <x v="17"/>
    <s v="فعلي"/>
    <x v="2"/>
    <s v="مليار ريال"/>
    <n v="27149397650"/>
    <x v="0"/>
  </r>
  <r>
    <x v="4"/>
    <x v="13"/>
    <s v="فعلي"/>
    <x v="2"/>
    <s v="مليار ريال"/>
    <n v="854000000000"/>
    <x v="0"/>
  </r>
  <r>
    <x v="2"/>
    <x v="10"/>
    <s v="فعلي"/>
    <x v="2"/>
    <s v="مليار ريال"/>
    <n v="45747000000"/>
    <x v="0"/>
  </r>
  <r>
    <x v="9"/>
    <x v="22"/>
    <s v="فعلي"/>
    <x v="2"/>
    <s v="مليار ريال"/>
    <n v="413048900800"/>
    <x v="0"/>
  </r>
  <r>
    <x v="5"/>
    <x v="14"/>
    <s v="فعلي"/>
    <x v="2"/>
    <s v="مليار ريال"/>
    <n v="-293900119900"/>
    <x v="0"/>
  </r>
  <r>
    <x v="11"/>
    <x v="24"/>
    <s v="فعلي"/>
    <x v="2"/>
    <s v="مليار ريال"/>
    <n v="155087586500"/>
    <x v="2"/>
  </r>
  <r>
    <x v="6"/>
    <x v="15"/>
    <s v="فعلي"/>
    <x v="2"/>
    <s v="مليار ريال"/>
    <n v="555450514200"/>
    <x v="0"/>
  </r>
  <r>
    <x v="10"/>
    <x v="23"/>
    <s v="فعلي"/>
    <x v="3"/>
    <s v="مليار ريال"/>
    <n v="964865690500"/>
    <x v="0"/>
  </r>
  <r>
    <x v="7"/>
    <x v="16"/>
    <s v="فعلي"/>
    <x v="3"/>
    <s v="مليار ريال"/>
    <n v="3684979000000"/>
    <x v="0"/>
  </r>
  <r>
    <x v="11"/>
    <x v="24"/>
    <s v="فعلي"/>
    <x v="3"/>
    <s v="مليار ريال"/>
    <n v="117217274400"/>
    <x v="2"/>
  </r>
  <r>
    <x v="5"/>
    <x v="14"/>
    <s v="فعلي"/>
    <x v="3"/>
    <s v="مليار ريال"/>
    <n v="-73447000000"/>
    <x v="0"/>
  </r>
  <r>
    <x v="4"/>
    <x v="13"/>
    <s v="فعلي"/>
    <x v="3"/>
    <s v="مليار ريال"/>
    <n v="938000000000"/>
    <x v="0"/>
  </r>
  <r>
    <x v="6"/>
    <x v="15"/>
    <s v="فعلي"/>
    <x v="3"/>
    <s v="مليار ريال"/>
    <n v="648380460200"/>
    <x v="0"/>
  </r>
  <r>
    <x v="8"/>
    <x v="17"/>
    <s v="فعلي"/>
    <x v="3"/>
    <s v="مليار ريال"/>
    <n v="28553923140"/>
    <x v="0"/>
  </r>
  <r>
    <x v="9"/>
    <x v="22"/>
    <s v="فعلي"/>
    <x v="3"/>
    <s v="مليار ريال"/>
    <n v="562191118100"/>
    <x v="0"/>
  </r>
  <r>
    <x v="3"/>
    <x v="12"/>
    <s v="فعلي"/>
    <x v="3"/>
    <s v="مليار ريال"/>
    <n v="347000000000"/>
    <x v="0"/>
  </r>
  <r>
    <x v="2"/>
    <x v="10"/>
    <s v="فعلي"/>
    <x v="3"/>
    <s v="مليار ريال"/>
    <n v="49144000000"/>
    <x v="0"/>
  </r>
  <r>
    <x v="2"/>
    <x v="11"/>
    <s v="فعلي"/>
    <x v="3"/>
    <s v="مليار ريال"/>
    <n v="108753000000"/>
    <x v="0"/>
  </r>
  <r>
    <x v="9"/>
    <x v="21"/>
    <s v="فعلي"/>
    <x v="3"/>
    <s v="مليار ريال"/>
    <n v="403000000000"/>
    <x v="0"/>
  </r>
  <r>
    <x v="8"/>
    <x v="18"/>
    <s v="فعلي"/>
    <x v="3"/>
    <s v="مليار ريال"/>
    <n v="18719236680"/>
    <x v="0"/>
  </r>
  <r>
    <x v="12"/>
    <x v="26"/>
    <s v="فعلي"/>
    <x v="3"/>
    <s v="مليار ريال"/>
    <n v="1038933029000"/>
    <x v="0"/>
  </r>
  <r>
    <x v="1"/>
    <x v="9"/>
    <s v="فعلي"/>
    <x v="3"/>
    <s v="مليار ريال"/>
    <n v="495719779300"/>
    <x v="1"/>
  </r>
  <r>
    <x v="1"/>
    <x v="31"/>
    <s v="فعلي"/>
    <x v="3"/>
    <s v="مليار ريال"/>
    <n v="204672938100"/>
    <x v="7"/>
  </r>
  <r>
    <x v="1"/>
    <x v="30"/>
    <s v="فعلي"/>
    <x v="3"/>
    <s v="مليار ريال"/>
    <n v="27383769220"/>
    <x v="6"/>
  </r>
  <r>
    <x v="1"/>
    <x v="29"/>
    <s v="فعلي"/>
    <x v="3"/>
    <s v="مليار ريال"/>
    <n v="29859225020"/>
    <x v="5"/>
  </r>
  <r>
    <x v="1"/>
    <x v="28"/>
    <s v="فعلي"/>
    <x v="3"/>
    <s v="مليار ريال"/>
    <n v="3483293219"/>
    <x v="4"/>
  </r>
  <r>
    <x v="1"/>
    <x v="27"/>
    <s v="فعلي"/>
    <x v="3"/>
    <s v="مليار ريال"/>
    <n v="69910547320"/>
    <x v="3"/>
  </r>
  <r>
    <x v="8"/>
    <x v="19"/>
    <s v="فعلي"/>
    <x v="3"/>
    <s v="مليار ريال"/>
    <n v="17847220400"/>
    <x v="0"/>
  </r>
  <r>
    <x v="1"/>
    <x v="25"/>
    <s v="فعلي"/>
    <x v="3"/>
    <s v="مليار ريال"/>
    <n v="90686202490"/>
    <x v="0"/>
  </r>
  <r>
    <x v="8"/>
    <x v="20"/>
    <s v="فعلي"/>
    <x v="3"/>
    <s v="مليار ريال"/>
    <n v="251364850100"/>
    <x v="0"/>
  </r>
  <r>
    <x v="2"/>
    <x v="10"/>
    <s v="فعلي"/>
    <x v="4"/>
    <s v="مليار ريال"/>
    <n v="18750000000"/>
    <x v="0"/>
  </r>
  <r>
    <x v="6"/>
    <x v="15"/>
    <s v="فعلي"/>
    <x v="4"/>
    <s v="مليار ريال"/>
    <n v="945069633600"/>
    <x v="0"/>
  </r>
  <r>
    <x v="1"/>
    <x v="31"/>
    <s v="فعلي"/>
    <x v="4"/>
    <s v="مليار ريال"/>
    <n v="258104554500"/>
    <x v="7"/>
  </r>
  <r>
    <x v="8"/>
    <x v="20"/>
    <s v="فعلي"/>
    <x v="4"/>
    <s v="مليار ريال"/>
    <n v="251455457200"/>
    <x v="0"/>
  </r>
  <r>
    <x v="1"/>
    <x v="30"/>
    <s v="فعلي"/>
    <x v="4"/>
    <s v="مليار ريال"/>
    <n v="30314379210"/>
    <x v="6"/>
  </r>
  <r>
    <x v="1"/>
    <x v="29"/>
    <s v="فعلي"/>
    <x v="4"/>
    <s v="مليار ريال"/>
    <n v="29648448270"/>
    <x v="5"/>
  </r>
  <r>
    <x v="1"/>
    <x v="28"/>
    <s v="فعلي"/>
    <x v="4"/>
    <s v="مليار ريال"/>
    <n v="2961420622"/>
    <x v="4"/>
  </r>
  <r>
    <x v="1"/>
    <x v="27"/>
    <s v="فعلي"/>
    <x v="4"/>
    <s v="مليار ريال"/>
    <n v="79417727670"/>
    <x v="3"/>
  </r>
  <r>
    <x v="8"/>
    <x v="19"/>
    <s v="فعلي"/>
    <x v="4"/>
    <s v="مليار ريال"/>
    <n v="24480529450"/>
    <x v="0"/>
  </r>
  <r>
    <x v="7"/>
    <x v="16"/>
    <s v="فعلي"/>
    <x v="4"/>
    <s v="مليار ريال"/>
    <n v="4646532000000"/>
    <x v="0"/>
  </r>
  <r>
    <x v="1"/>
    <x v="25"/>
    <s v="فعلي"/>
    <x v="4"/>
    <s v="مليار ريال"/>
    <n v="107174250200"/>
    <x v="0"/>
  </r>
  <r>
    <x v="9"/>
    <x v="21"/>
    <s v="فعلي"/>
    <x v="4"/>
    <s v="مليار ريال"/>
    <n v="411000000000"/>
    <x v="0"/>
  </r>
  <r>
    <x v="8"/>
    <x v="18"/>
    <s v="فعلي"/>
    <x v="4"/>
    <s v="مليار ريال"/>
    <n v="18749214350"/>
    <x v="0"/>
  </r>
  <r>
    <x v="12"/>
    <x v="26"/>
    <s v="فعلي"/>
    <x v="4"/>
    <s v="مليار ريال"/>
    <n v="1164308815000"/>
    <x v="0"/>
  </r>
  <r>
    <x v="3"/>
    <x v="12"/>
    <s v="فعلي"/>
    <x v="4"/>
    <s v="مليار ريال"/>
    <n v="318364242600"/>
    <x v="0"/>
  </r>
  <r>
    <x v="2"/>
    <x v="11"/>
    <s v="فعلي"/>
    <x v="4"/>
    <s v="مليار ريال"/>
    <n v="106650000000"/>
    <x v="0"/>
  </r>
  <r>
    <x v="9"/>
    <x v="22"/>
    <s v="فعلي"/>
    <x v="4"/>
    <s v="مليار ريال"/>
    <n v="857272312900"/>
    <x v="0"/>
  </r>
  <r>
    <x v="4"/>
    <x v="13"/>
    <s v="فعلي"/>
    <x v="4"/>
    <s v="مليار ريال"/>
    <n v="990000000000"/>
    <x v="0"/>
  </r>
  <r>
    <x v="10"/>
    <x v="23"/>
    <s v="فعلي"/>
    <x v="4"/>
    <s v="مليار ريال"/>
    <n v="1267764494000"/>
    <x v="0"/>
  </r>
  <r>
    <x v="8"/>
    <x v="17"/>
    <s v="فعلي"/>
    <x v="4"/>
    <s v="مليار ريال"/>
    <n v="28409000000"/>
    <x v="0"/>
  </r>
  <r>
    <x v="5"/>
    <x v="32"/>
    <s v="فعلي"/>
    <x v="4"/>
    <s v="مليار ريال"/>
    <n v="103854880200"/>
    <x v="0"/>
  </r>
  <r>
    <x v="11"/>
    <x v="24"/>
    <s v="فعلي"/>
    <x v="4"/>
    <s v="مليار ريال"/>
    <n v="143463693800"/>
    <x v="2"/>
  </r>
  <r>
    <x v="1"/>
    <x v="9"/>
    <s v="فعلي"/>
    <x v="4"/>
    <s v="مليار ريال"/>
    <n v="513224340600"/>
    <x v="1"/>
  </r>
  <r>
    <x v="5"/>
    <x v="14"/>
    <s v="فعلي"/>
    <x v="5"/>
    <s v="مليار ريال"/>
    <n v="-80946491170"/>
    <x v="0"/>
  </r>
  <r>
    <x v="10"/>
    <x v="23"/>
    <s v="فعلي"/>
    <x v="5"/>
    <s v="مليار ريال"/>
    <n v="1212289601000"/>
    <x v="0"/>
  </r>
  <r>
    <x v="6"/>
    <x v="15"/>
    <s v="فعلي"/>
    <x v="5"/>
    <s v="مليار ريال"/>
    <n v="855652378300"/>
    <x v="0"/>
  </r>
  <r>
    <x v="11"/>
    <x v="24"/>
    <s v="فعلي"/>
    <x v="5"/>
    <s v="مليار ريال"/>
    <n v="186496360200"/>
    <x v="2"/>
  </r>
  <r>
    <x v="2"/>
    <x v="11"/>
    <s v="فعلي"/>
    <x v="5"/>
    <s v="مليار ريال"/>
    <n v="87982516330"/>
    <x v="0"/>
  </r>
  <r>
    <x v="8"/>
    <x v="17"/>
    <s v="فعلي"/>
    <x v="5"/>
    <s v="مليار ريال"/>
    <n v="33373666160"/>
    <x v="0"/>
  </r>
  <r>
    <x v="12"/>
    <x v="26"/>
    <s v="فعلي"/>
    <x v="5"/>
    <s v="مليار ريال"/>
    <n v="1293236092000"/>
    <x v="0"/>
  </r>
  <r>
    <x v="1"/>
    <x v="25"/>
    <s v="فعلي"/>
    <x v="5"/>
    <s v="مليار ريال"/>
    <n v="103538486900"/>
    <x v="0"/>
  </r>
  <r>
    <x v="2"/>
    <x v="10"/>
    <s v="فعلي"/>
    <x v="5"/>
    <s v="مليار ريال"/>
    <n v="101000000000"/>
    <x v="0"/>
  </r>
  <r>
    <x v="9"/>
    <x v="22"/>
    <s v="فعلي"/>
    <x v="5"/>
    <s v="مليار ريال"/>
    <n v="754561766100"/>
    <x v="0"/>
  </r>
  <r>
    <x v="7"/>
    <x v="16"/>
    <s v="فعلي"/>
    <x v="5"/>
    <s v="مليار ريال"/>
    <n v="4569693000000"/>
    <x v="0"/>
  </r>
  <r>
    <x v="1"/>
    <x v="9"/>
    <s v="فعلي"/>
    <x v="5"/>
    <s v="مليار ريال"/>
    <n v="537318487799.99994"/>
    <x v="1"/>
  </r>
  <r>
    <x v="3"/>
    <x v="12"/>
    <s v="فعلي"/>
    <x v="5"/>
    <s v="مليار ريال"/>
    <n v="390000000000"/>
    <x v="0"/>
  </r>
  <r>
    <x v="8"/>
    <x v="18"/>
    <s v="فعلي"/>
    <x v="5"/>
    <s v="مليار ريال"/>
    <n v="22149128950"/>
    <x v="0"/>
  </r>
  <r>
    <x v="9"/>
    <x v="21"/>
    <s v="فعلي"/>
    <x v="5"/>
    <s v="مليار ريال"/>
    <n v="458000000000"/>
    <x v="0"/>
  </r>
  <r>
    <x v="1"/>
    <x v="31"/>
    <s v="فعلي"/>
    <x v="5"/>
    <s v="مليار ريال"/>
    <n v="303390367300"/>
    <x v="7"/>
  </r>
  <r>
    <x v="1"/>
    <x v="27"/>
    <s v="فعلي"/>
    <x v="5"/>
    <s v="مليار ريال"/>
    <n v="97006900000"/>
    <x v="3"/>
  </r>
  <r>
    <x v="8"/>
    <x v="20"/>
    <s v="فعلي"/>
    <x v="5"/>
    <s v="مليار ريال"/>
    <n v="262475982900.00003"/>
    <x v="0"/>
  </r>
  <r>
    <x v="8"/>
    <x v="19"/>
    <s v="فعلي"/>
    <x v="5"/>
    <s v="مليار ريال"/>
    <n v="38638444310"/>
    <x v="0"/>
  </r>
  <r>
    <x v="1"/>
    <x v="30"/>
    <s v="فعلي"/>
    <x v="5"/>
    <s v="مليار ريال"/>
    <n v="37789203690"/>
    <x v="6"/>
  </r>
  <r>
    <x v="1"/>
    <x v="29"/>
    <s v="فعلي"/>
    <x v="5"/>
    <s v="مليار ريال"/>
    <n v="20904802250"/>
    <x v="5"/>
  </r>
  <r>
    <x v="1"/>
    <x v="28"/>
    <s v="فعلي"/>
    <x v="5"/>
    <s v="مليار ريال"/>
    <n v="6791483738"/>
    <x v="4"/>
  </r>
  <r>
    <x v="4"/>
    <x v="13"/>
    <s v="فعلي"/>
    <x v="5"/>
    <s v="مليار ريال"/>
    <n v="1050282316000"/>
    <x v="0"/>
  </r>
  <r>
    <x v="8"/>
    <x v="20"/>
    <s v="فعلي"/>
    <x v="6"/>
    <s v="مليار ريال"/>
    <n v="288809217000"/>
    <x v="0"/>
  </r>
  <r>
    <x v="8"/>
    <x v="19"/>
    <s v="فعلي"/>
    <x v="6"/>
    <s v="مليار ريال"/>
    <n v="31575624070"/>
    <x v="0"/>
  </r>
  <r>
    <x v="9"/>
    <x v="21"/>
    <s v="فعلي"/>
    <x v="6"/>
    <s v="مليار ريال"/>
    <n v="502000000000"/>
    <x v="0"/>
  </r>
  <r>
    <x v="3"/>
    <x v="12"/>
    <s v="فعلي"/>
    <x v="6"/>
    <s v="مليار ريال"/>
    <n v="390000000000"/>
    <x v="0"/>
  </r>
  <r>
    <x v="8"/>
    <x v="18"/>
    <s v="فعلي"/>
    <x v="6"/>
    <s v="مليار ريال"/>
    <n v="24498603510"/>
    <x v="0"/>
  </r>
  <r>
    <x v="9"/>
    <x v="22"/>
    <s v="فعلي"/>
    <x v="6"/>
    <s v="مليار ريال"/>
    <n v="757000000000"/>
    <x v="0"/>
  </r>
  <r>
    <x v="2"/>
    <x v="10"/>
    <s v="فعلي"/>
    <x v="6"/>
    <s v="مليار ريال"/>
    <n v="77000000000"/>
    <x v="0"/>
  </r>
  <r>
    <x v="7"/>
    <x v="16"/>
    <s v="فعلي"/>
    <x v="6"/>
    <s v="مليار ريال"/>
    <n v="4649267000000"/>
    <x v="0"/>
  </r>
  <r>
    <x v="8"/>
    <x v="17"/>
    <s v="فعلي"/>
    <x v="6"/>
    <s v="مليار ريال"/>
    <n v="35645881880"/>
    <x v="0"/>
  </r>
  <r>
    <x v="1"/>
    <x v="9"/>
    <s v="فعلي"/>
    <x v="6"/>
    <s v="مليار ريال"/>
    <n v="562000000000"/>
    <x v="1"/>
  </r>
  <r>
    <x v="1"/>
    <x v="31"/>
    <s v="فعلي"/>
    <x v="6"/>
    <s v="مليار ريال"/>
    <n v="313000000000"/>
    <x v="7"/>
  </r>
  <r>
    <x v="1"/>
    <x v="30"/>
    <s v="فعلي"/>
    <x v="6"/>
    <s v="مليار ريال"/>
    <n v="45000000000"/>
    <x v="6"/>
  </r>
  <r>
    <x v="12"/>
    <x v="26"/>
    <s v="فعلي"/>
    <x v="6"/>
    <s v="مليار ريال"/>
    <n v="1375000000000"/>
    <x v="0"/>
  </r>
  <r>
    <x v="11"/>
    <x v="24"/>
    <s v="فعلي"/>
    <x v="6"/>
    <s v="مليار ريال"/>
    <n v="191000000000"/>
    <x v="2"/>
  </r>
  <r>
    <x v="2"/>
    <x v="11"/>
    <s v="فعلي"/>
    <x v="6"/>
    <s v="مليار ريال"/>
    <n v="168000000000"/>
    <x v="0"/>
  </r>
  <r>
    <x v="10"/>
    <x v="23"/>
    <s v="فعلي"/>
    <x v="6"/>
    <s v="مليار ريال"/>
    <n v="1259000000000"/>
    <x v="0"/>
  </r>
  <r>
    <x v="6"/>
    <x v="15"/>
    <s v="فعلي"/>
    <x v="6"/>
    <s v="مليار ريال"/>
    <n v="878566108600"/>
    <x v="0"/>
  </r>
  <r>
    <x v="1"/>
    <x v="29"/>
    <s v="فعلي"/>
    <x v="6"/>
    <s v="مليار ريال"/>
    <n v="34000000000"/>
    <x v="5"/>
  </r>
  <r>
    <x v="1"/>
    <x v="28"/>
    <s v="فعلي"/>
    <x v="6"/>
    <s v="مليار ريال"/>
    <n v="4000000000"/>
    <x v="4"/>
  </r>
  <r>
    <x v="1"/>
    <x v="27"/>
    <s v="فعلي"/>
    <x v="6"/>
    <s v="مليار ريال"/>
    <n v="101000000000"/>
    <x v="3"/>
  </r>
  <r>
    <x v="1"/>
    <x v="25"/>
    <s v="فعلي"/>
    <x v="6"/>
    <s v="مليار ريال"/>
    <n v="125000000000"/>
    <x v="0"/>
  </r>
  <r>
    <x v="5"/>
    <x v="14"/>
    <s v="فعلي"/>
    <x v="6"/>
    <s v="مليار ريال"/>
    <n v="-116000000000"/>
    <x v="0"/>
  </r>
  <r>
    <x v="4"/>
    <x v="13"/>
    <s v="فعلي"/>
    <x v="6"/>
    <s v="مليار ريال"/>
    <n v="1216000000000"/>
    <x v="0"/>
  </r>
  <r>
    <x v="7"/>
    <x v="16"/>
    <s v="ميزانية"/>
    <x v="7"/>
    <s v="مليار ريال"/>
    <n v="4352000000000"/>
    <x v="0"/>
  </r>
  <r>
    <x v="8"/>
    <x v="20"/>
    <s v="ميزانية"/>
    <x v="7"/>
    <s v="مليار ريال"/>
    <n v="290391270700"/>
    <x v="0"/>
  </r>
  <r>
    <x v="1"/>
    <x v="29"/>
    <s v="ميزانية"/>
    <x v="7"/>
    <s v="مليار ريال"/>
    <n v="31011556540"/>
    <x v="5"/>
  </r>
  <r>
    <x v="1"/>
    <x v="30"/>
    <s v="ميزانية"/>
    <x v="7"/>
    <s v="مليار ريال"/>
    <n v="58722031110"/>
    <x v="6"/>
  </r>
  <r>
    <x v="1"/>
    <x v="31"/>
    <s v="ميزانية"/>
    <x v="7"/>
    <s v="مليار ريال"/>
    <n v="265433498800"/>
    <x v="7"/>
  </r>
  <r>
    <x v="1"/>
    <x v="9"/>
    <s v="ميزانية"/>
    <x v="7"/>
    <s v="مليار ريال"/>
    <n v="560886037100"/>
    <x v="1"/>
  </r>
  <r>
    <x v="12"/>
    <x v="26"/>
    <s v="ميزانية"/>
    <x v="7"/>
    <s v="مليار ريال"/>
    <n v="1285000000000"/>
    <x v="0"/>
  </r>
  <r>
    <x v="4"/>
    <x v="13"/>
    <s v="ميزانية"/>
    <x v="7"/>
    <s v="مليار ريال"/>
    <n v="1300000000000"/>
    <x v="0"/>
  </r>
  <r>
    <x v="10"/>
    <x v="23"/>
    <s v="ميزانية"/>
    <x v="7"/>
    <s v="مليار ريال"/>
    <n v="1183787935000"/>
    <x v="0"/>
  </r>
  <r>
    <x v="5"/>
    <x v="14"/>
    <s v="ميزانية"/>
    <x v="7"/>
    <s v="مليار ريال"/>
    <n v="-101212065400"/>
    <x v="0"/>
  </r>
  <r>
    <x v="1"/>
    <x v="28"/>
    <s v="ميزانية"/>
    <x v="7"/>
    <s v="مليار ريال"/>
    <n v="1638009000"/>
    <x v="4"/>
  </r>
  <r>
    <x v="1"/>
    <x v="27"/>
    <s v="ميزانية"/>
    <x v="7"/>
    <s v="مليار ريال"/>
    <n v="97674951610"/>
    <x v="3"/>
  </r>
  <r>
    <x v="1"/>
    <x v="25"/>
    <s v="ميزانية"/>
    <x v="7"/>
    <s v="مليار ريال"/>
    <n v="85853247380"/>
    <x v="0"/>
  </r>
  <r>
    <x v="6"/>
    <x v="15"/>
    <s v="ميزانية"/>
    <x v="7"/>
    <s v="مليار ريال"/>
    <n v="804332322300"/>
    <x v="0"/>
  </r>
  <r>
    <x v="11"/>
    <x v="24"/>
    <s v="ميزانية"/>
    <x v="7"/>
    <s v="مليار ريال"/>
    <n v="183780668500"/>
    <x v="2"/>
  </r>
  <r>
    <x v="8"/>
    <x v="17"/>
    <s v="ميزانية"/>
    <x v="7"/>
    <s v="مليار ريال"/>
    <n v="35714341550"/>
    <x v="0"/>
  </r>
  <r>
    <x v="8"/>
    <x v="18"/>
    <s v="ميزانية"/>
    <x v="7"/>
    <s v="مليار ريال"/>
    <n v="22750000000"/>
    <x v="0"/>
  </r>
  <r>
    <x v="3"/>
    <x v="12"/>
    <s v="ميزانية"/>
    <x v="7"/>
    <s v="مليار ريال"/>
    <n v="390000000000"/>
    <x v="0"/>
  </r>
  <r>
    <x v="8"/>
    <x v="19"/>
    <s v="ميزانية"/>
    <x v="7"/>
    <s v="مليار ريال"/>
    <n v="30600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EC3926-CF36-44AD-BFB2-34104A0E17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rowPageCount="1" colPageCount="1"/>
  <pivotFields count="7">
    <pivotField showAll="0"/>
    <pivotField axis="axisPage" showAll="0">
      <items count="34">
        <item x="8"/>
        <item x="7"/>
        <item x="6"/>
        <item x="5"/>
        <item x="4"/>
        <item x="0"/>
        <item x="3"/>
        <item x="2"/>
        <item x="1"/>
        <item x="23"/>
        <item x="26"/>
        <item x="10"/>
        <item x="11"/>
        <item x="24"/>
        <item x="29"/>
        <item x="15"/>
        <item x="22"/>
        <item x="21"/>
        <item x="31"/>
        <item x="27"/>
        <item x="28"/>
        <item x="9"/>
        <item x="17"/>
        <item x="14"/>
        <item x="32"/>
        <item x="12"/>
        <item x="13"/>
        <item x="16"/>
        <item x="25"/>
        <item x="18"/>
        <item x="19"/>
        <item x="20"/>
        <item x="30"/>
        <item t="default"/>
      </items>
    </pivotField>
    <pivotField showAll="0"/>
    <pivotField showAll="0">
      <items count="9">
        <item h="1" x="0"/>
        <item h="1" x="1"/>
        <item h="1" x="2"/>
        <item h="1" x="3"/>
        <item h="1" x="4"/>
        <item h="1" x="5"/>
        <item x="6"/>
        <item h="1" x="7"/>
        <item t="default"/>
      </items>
    </pivotField>
    <pivotField showAll="0"/>
    <pivotField dataField="1" showAll="0"/>
    <pivotField showAll="0"/>
  </pivotFields>
  <rowItems count="1">
    <i/>
  </rowItems>
  <colItems count="1">
    <i/>
  </colItems>
  <pageFields count="1">
    <pageField fld="1" item="10" hier="-1"/>
  </pageFields>
  <dataFields count="1">
    <dataField name="Sum of القيمة" fld="5" baseField="0" baseItem="0" numFmtId="43"/>
  </dataFields>
  <formats count="1">
    <format dxfId="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A85C26-F0CB-40F6-A315-0F6C4C6C30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1" colPageCount="1"/>
  <pivotFields count="7">
    <pivotField showAll="0"/>
    <pivotField axis="axisPage" showAll="0">
      <items count="34">
        <item x="8"/>
        <item x="7"/>
        <item x="6"/>
        <item x="5"/>
        <item x="4"/>
        <item x="0"/>
        <item x="3"/>
        <item x="2"/>
        <item x="1"/>
        <item x="23"/>
        <item x="26"/>
        <item x="10"/>
        <item x="11"/>
        <item x="24"/>
        <item x="29"/>
        <item x="15"/>
        <item x="22"/>
        <item x="21"/>
        <item x="31"/>
        <item x="27"/>
        <item x="28"/>
        <item x="9"/>
        <item x="17"/>
        <item x="14"/>
        <item x="32"/>
        <item x="12"/>
        <item x="13"/>
        <item x="16"/>
        <item x="25"/>
        <item x="18"/>
        <item x="19"/>
        <item x="20"/>
        <item x="30"/>
        <item t="default"/>
      </items>
    </pivotField>
    <pivotField showAll="0"/>
    <pivotField showAll="0">
      <items count="9">
        <item h="1" x="0"/>
        <item h="1" x="1"/>
        <item h="1" x="2"/>
        <item h="1" x="3"/>
        <item h="1" x="4"/>
        <item h="1" x="5"/>
        <item x="6"/>
        <item h="1" x="7"/>
        <item t="default"/>
      </items>
    </pivotField>
    <pivotField showAll="0"/>
    <pivotField dataField="1" showAll="0"/>
    <pivotField showAll="0"/>
  </pivotFields>
  <rowItems count="1">
    <i/>
  </rowItems>
  <colItems count="1">
    <i/>
  </colItems>
  <pageFields count="1">
    <pageField fld="1" item="9" hier="-1"/>
  </pageFields>
  <dataFields count="1">
    <dataField name="Sum of القيمة" fld="5" baseField="0" baseItem="0" numFmtId="43"/>
  </dataFields>
  <formats count="1">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634567-E5DD-4BD2-82AD-4590B70956B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4:H22" firstHeaderRow="1" firstDataRow="1" firstDataCol="1"/>
  <pivotFields count="7">
    <pivotField showAll="0"/>
    <pivotField showAll="0"/>
    <pivotField showAll="0"/>
    <pivotField showAll="0">
      <items count="9">
        <item h="1" x="0"/>
        <item h="1" x="1"/>
        <item h="1" x="2"/>
        <item h="1" x="3"/>
        <item h="1" x="4"/>
        <item h="1" x="5"/>
        <item x="6"/>
        <item h="1" x="7"/>
        <item t="default"/>
      </items>
    </pivotField>
    <pivotField showAll="0"/>
    <pivotField dataField="1" showAll="0"/>
    <pivotField axis="axisRow" showAll="0" sortType="descending">
      <items count="9">
        <item h="1" x="0"/>
        <item x="2"/>
        <item x="5"/>
        <item x="7"/>
        <item x="3"/>
        <item x="4"/>
        <item x="1"/>
        <item x="6"/>
        <item t="default"/>
      </items>
      <autoSortScope>
        <pivotArea dataOnly="0" outline="0" fieldPosition="0">
          <references count="1">
            <reference field="4294967294" count="1" selected="0">
              <x v="0"/>
            </reference>
          </references>
        </pivotArea>
      </autoSortScope>
    </pivotField>
  </pivotFields>
  <rowFields count="1">
    <field x="6"/>
  </rowFields>
  <rowItems count="8">
    <i>
      <x v="6"/>
    </i>
    <i>
      <x v="3"/>
    </i>
    <i>
      <x v="1"/>
    </i>
    <i>
      <x v="4"/>
    </i>
    <i>
      <x v="7"/>
    </i>
    <i>
      <x v="2"/>
    </i>
    <i>
      <x v="5"/>
    </i>
    <i t="grand">
      <x/>
    </i>
  </rowItems>
  <colItems count="1">
    <i/>
  </colItems>
  <dataFields count="1">
    <dataField name="Sum of القيمة" fld="5" baseField="0" baseItem="0"/>
  </dataFields>
  <chartFormats count="16">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6" count="1" selected="0">
            <x v="6"/>
          </reference>
        </references>
      </pivotArea>
    </chartFormat>
    <chartFormat chart="5" format="3">
      <pivotArea type="data" outline="0" fieldPosition="0">
        <references count="2">
          <reference field="4294967294" count="1" selected="0">
            <x v="0"/>
          </reference>
          <reference field="6" count="1" selected="0">
            <x v="3"/>
          </reference>
        </references>
      </pivotArea>
    </chartFormat>
    <chartFormat chart="5" format="4">
      <pivotArea type="data" outline="0" fieldPosition="0">
        <references count="2">
          <reference field="4294967294" count="1" selected="0">
            <x v="0"/>
          </reference>
          <reference field="6" count="1" selected="0">
            <x v="1"/>
          </reference>
        </references>
      </pivotArea>
    </chartFormat>
    <chartFormat chart="5" format="5">
      <pivotArea type="data" outline="0" fieldPosition="0">
        <references count="2">
          <reference field="4294967294" count="1" selected="0">
            <x v="0"/>
          </reference>
          <reference field="6" count="1" selected="0">
            <x v="4"/>
          </reference>
        </references>
      </pivotArea>
    </chartFormat>
    <chartFormat chart="5" format="6">
      <pivotArea type="data" outline="0" fieldPosition="0">
        <references count="2">
          <reference field="4294967294" count="1" selected="0">
            <x v="0"/>
          </reference>
          <reference field="6" count="1" selected="0">
            <x v="7"/>
          </reference>
        </references>
      </pivotArea>
    </chartFormat>
    <chartFormat chart="5" format="7">
      <pivotArea type="data" outline="0" fieldPosition="0">
        <references count="2">
          <reference field="4294967294" count="1" selected="0">
            <x v="0"/>
          </reference>
          <reference field="6" count="1" selected="0">
            <x v="2"/>
          </reference>
        </references>
      </pivotArea>
    </chartFormat>
    <chartFormat chart="5" format="8">
      <pivotArea type="data" outline="0" fieldPosition="0">
        <references count="2">
          <reference field="4294967294" count="1" selected="0">
            <x v="0"/>
          </reference>
          <reference field="6" count="1" selected="0">
            <x v="5"/>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6" count="1" selected="0">
            <x v="6"/>
          </reference>
        </references>
      </pivotArea>
    </chartFormat>
    <chartFormat chart="6" format="11">
      <pivotArea type="data" outline="0" fieldPosition="0">
        <references count="2">
          <reference field="4294967294" count="1" selected="0">
            <x v="0"/>
          </reference>
          <reference field="6" count="1" selected="0">
            <x v="3"/>
          </reference>
        </references>
      </pivotArea>
    </chartFormat>
    <chartFormat chart="6" format="12">
      <pivotArea type="data" outline="0" fieldPosition="0">
        <references count="2">
          <reference field="4294967294" count="1" selected="0">
            <x v="0"/>
          </reference>
          <reference field="6" count="1" selected="0">
            <x v="1"/>
          </reference>
        </references>
      </pivotArea>
    </chartFormat>
    <chartFormat chart="6" format="13">
      <pivotArea type="data" outline="0" fieldPosition="0">
        <references count="2">
          <reference field="4294967294" count="1" selected="0">
            <x v="0"/>
          </reference>
          <reference field="6" count="1" selected="0">
            <x v="4"/>
          </reference>
        </references>
      </pivotArea>
    </chartFormat>
    <chartFormat chart="6" format="14">
      <pivotArea type="data" outline="0" fieldPosition="0">
        <references count="2">
          <reference field="4294967294" count="1" selected="0">
            <x v="0"/>
          </reference>
          <reference field="6" count="1" selected="0">
            <x v="7"/>
          </reference>
        </references>
      </pivotArea>
    </chartFormat>
    <chartFormat chart="6" format="15">
      <pivotArea type="data" outline="0" fieldPosition="0">
        <references count="2">
          <reference field="4294967294" count="1" selected="0">
            <x v="0"/>
          </reference>
          <reference field="6" count="1" selected="0">
            <x v="2"/>
          </reference>
        </references>
      </pivotArea>
    </chartFormat>
    <chartFormat chart="6" format="1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A4B89A-7F34-4BC7-B29D-162A1A0E96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B19" firstHeaderRow="1" firstDataRow="1" firstDataCol="1" rowPageCount="1" colPageCount="1"/>
  <pivotFields count="7">
    <pivotField axis="axisPage" showAll="0">
      <items count="14">
        <item x="10"/>
        <item x="12"/>
        <item x="3"/>
        <item x="0"/>
        <item x="6"/>
        <item x="8"/>
        <item x="9"/>
        <item x="4"/>
        <item x="5"/>
        <item x="7"/>
        <item x="1"/>
        <item x="11"/>
        <item x="2"/>
        <item t="default"/>
      </items>
    </pivotField>
    <pivotField axis="axisRow" showAll="0">
      <items count="34">
        <item x="8"/>
        <item x="7"/>
        <item x="6"/>
        <item x="5"/>
        <item x="4"/>
        <item x="0"/>
        <item x="3"/>
        <item x="2"/>
        <item x="1"/>
        <item x="23"/>
        <item x="26"/>
        <item x="10"/>
        <item x="11"/>
        <item x="24"/>
        <item x="29"/>
        <item x="15"/>
        <item x="22"/>
        <item x="21"/>
        <item x="31"/>
        <item x="27"/>
        <item x="28"/>
        <item x="9"/>
        <item x="17"/>
        <item x="14"/>
        <item x="32"/>
        <item x="12"/>
        <item x="13"/>
        <item x="16"/>
        <item x="25"/>
        <item x="18"/>
        <item x="19"/>
        <item x="20"/>
        <item x="30"/>
        <item t="default"/>
      </items>
    </pivotField>
    <pivotField showAll="0"/>
    <pivotField showAll="0">
      <items count="9">
        <item h="1" x="0"/>
        <item h="1" x="1"/>
        <item h="1" x="2"/>
        <item h="1" x="3"/>
        <item h="1" x="4"/>
        <item h="1" x="5"/>
        <item x="6"/>
        <item h="1" x="7"/>
        <item t="default"/>
      </items>
    </pivotField>
    <pivotField showAll="0"/>
    <pivotField dataField="1" showAll="0"/>
    <pivotField showAll="0">
      <items count="9">
        <item h="1" x="0"/>
        <item x="2"/>
        <item x="5"/>
        <item x="7"/>
        <item x="3"/>
        <item x="4"/>
        <item x="1"/>
        <item x="6"/>
        <item t="default"/>
      </items>
    </pivotField>
  </pivotFields>
  <rowFields count="1">
    <field x="1"/>
  </rowFields>
  <rowItems count="3">
    <i>
      <x v="16"/>
    </i>
    <i>
      <x v="17"/>
    </i>
    <i t="grand">
      <x/>
    </i>
  </rowItems>
  <colItems count="1">
    <i/>
  </colItems>
  <pageFields count="1">
    <pageField fld="0" item="6" hier="-1"/>
  </pageFields>
  <dataFields count="1">
    <dataField name="Sum of القيمة" fld="5"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16"/>
          </reference>
        </references>
      </pivotArea>
    </chartFormat>
    <chartFormat chart="4" format="6">
      <pivotArea type="data" outline="0" fieldPosition="0">
        <references count="2">
          <reference field="4294967294" count="1" selected="0">
            <x v="0"/>
          </reference>
          <reference field="1"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FCCCBF8-A2F7-48C8-A812-1E935BC1E1F1}" autoFormatId="16" applyNumberFormats="0" applyBorderFormats="0" applyFontFormats="0" applyPatternFormats="0" applyAlignmentFormats="0" applyWidthHeightFormats="0">
  <queryTableRefresh nextId="8" unboundColumnsRight="1">
    <queryTableFields count="7">
      <queryTableField id="1" name="الفئة" tableColumnId="1"/>
      <queryTableField id="2" name="التصنيف" tableColumnId="2"/>
      <queryTableField id="3" name="النوع" tableColumnId="3"/>
      <queryTableField id="4" name="السنة" tableColumnId="4"/>
      <queryTableField id="5" name="الوحدة" tableColumnId="5"/>
      <queryTableField id="6" name="القيمة" tableColumnId="6"/>
      <queryTableField id="7" dataBound="0" tableColumnId="7"/>
    </queryTableFields>
  </queryTableRefresh>
  <extLst>
    <ext xmlns:x15="http://schemas.microsoft.com/office/spreadsheetml/2010/11/main" uri="{883FBD77-0823-4a55-B5E3-86C4891E6966}">
      <x15:queryTable sourceDataName="Query - KSA Budg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سنة" xr10:uid="{FAACC2C8-D7AD-4D9E-A2E6-EA17AA949CCD}" sourceName="السنة">
  <pivotTables>
    <pivotTable tabId="1" name="PivotTable3"/>
    <pivotTable tabId="1" name="PivotTable4"/>
    <pivotTable tabId="1" name="PivotTable1"/>
    <pivotTable tabId="1" name="PivotTable2"/>
  </pivotTables>
  <data>
    <tabular pivotCacheId="599411129">
      <items count="8">
        <i x="0"/>
        <i x="1"/>
        <i x="2"/>
        <i x="3"/>
        <i x="4"/>
        <i x="5"/>
        <i x="6" s="1"/>
        <i x="7"/>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سنة" xr10:uid="{1E3327E5-754E-4506-A503-718EA2CFD0EF}" cache="Slicer_السنة" caption="السنة" columnCount="3" style="SlicerStyleLight1 No Border"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9DB9E8-0840-4592-9A92-D22F723B0B99}" name="KSA_Budget" displayName="KSA_Budget" ref="A1:G253" tableType="queryTable" totalsRowShown="0" headerRowDxfId="97">
  <autoFilter ref="A1:G253" xr:uid="{1B9DB9E8-0840-4592-9A92-D22F723B0B99}"/>
  <tableColumns count="7">
    <tableColumn id="1" xr3:uid="{54FDF5DC-1D75-4065-ABD3-EF52EED02864}" uniqueName="1" name="الفئة" queryTableFieldId="1" dataDxfId="96"/>
    <tableColumn id="2" xr3:uid="{FD9A45A0-DF46-426B-904E-C8C110D8742E}" uniqueName="2" name="التصنيف" queryTableFieldId="2" dataDxfId="95"/>
    <tableColumn id="3" xr3:uid="{B5831B02-7DBE-4AA9-8C01-11CFBB86BC4A}" uniqueName="3" name="النوع" queryTableFieldId="3" dataDxfId="94"/>
    <tableColumn id="4" xr3:uid="{C692419A-E2D6-4E19-9E02-9EE4C2F21D2C}" uniqueName="4" name="السنة" queryTableFieldId="4"/>
    <tableColumn id="5" xr3:uid="{12E42672-E282-4F75-820F-B2A2483E63A8}" uniqueName="5" name="الوحدة" queryTableFieldId="5" dataDxfId="93"/>
    <tableColumn id="6" xr3:uid="{429054F1-8E4C-488A-8C7B-3DF2793090C1}" uniqueName="6" name="القيمة" queryTableFieldId="6"/>
    <tableColumn id="7" xr3:uid="{6F28A828-B103-4BF6-9D24-EBA725A0A667}" uniqueName="7" name="التصنيف (groups)" queryTableFieldId="7" dataDxfId="92">
      <calculatedColumnFormula array="1">_xlfn.SWITCH(TRUE(),
    OR(B2="الأصول غير المالية"), "الأصول غير المالية",
    OR(B2="الإعانات"), "الإعانات",
    OR(B2="السلع والخدمات"), "السلع والخدمات",
    OR(B2="المنافع الاجتماعية"), "المنافع الاجتماعية",
    OR(B2="المنح"), "المنح",
    OR(B2="تعويضات العاملين"), "تعويضات العاملين",
    OR(B2="مصاريف أخرى"), "مصاريف أخرى",
    OR(B2="نفقات تمويل"), "نفقات تمويل",
    "Other"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01B9C-3D01-4C24-8DE9-26B9741C53BC}">
  <dimension ref="A1"/>
  <sheetViews>
    <sheetView workbookViewId="0">
      <selection activeCell="A2" sqref="A2"/>
    </sheetView>
  </sheetViews>
  <sheetFormatPr defaultRowHeight="14.5" x14ac:dyDescent="0.35"/>
  <sheetData>
    <row r="1" spans="1:1" x14ac:dyDescent="0.35">
      <c r="A1" t="s">
        <v>55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3CA40-481D-4773-95D8-50AF437A038B}">
  <dimension ref="A1:G253"/>
  <sheetViews>
    <sheetView topLeftCell="A2" workbookViewId="0">
      <selection activeCell="E7" sqref="E7"/>
    </sheetView>
  </sheetViews>
  <sheetFormatPr defaultRowHeight="14.5" x14ac:dyDescent="0.35"/>
  <cols>
    <col min="1" max="1" width="20.6328125" bestFit="1" customWidth="1"/>
    <col min="2" max="2" width="27.1796875" bestFit="1" customWidth="1"/>
    <col min="3" max="3" width="5.1796875" bestFit="1" customWidth="1"/>
    <col min="4" max="4" width="4.81640625" bestFit="1" customWidth="1"/>
    <col min="5" max="5" width="7" bestFit="1" customWidth="1"/>
    <col min="6" max="6" width="12.453125" bestFit="1" customWidth="1"/>
  </cols>
  <sheetData>
    <row r="1" spans="1:7" x14ac:dyDescent="0.35">
      <c r="A1" s="5" t="s">
        <v>0</v>
      </c>
      <c r="B1" s="5" t="s">
        <v>1</v>
      </c>
      <c r="C1" s="5" t="s">
        <v>2</v>
      </c>
      <c r="D1" s="5" t="s">
        <v>3</v>
      </c>
      <c r="E1" s="5" t="s">
        <v>4</v>
      </c>
      <c r="F1" s="5" t="s">
        <v>5</v>
      </c>
      <c r="G1" s="5" t="s">
        <v>54</v>
      </c>
    </row>
    <row r="2" spans="1:7" x14ac:dyDescent="0.35">
      <c r="A2" t="s">
        <v>6</v>
      </c>
      <c r="B2" t="s">
        <v>7</v>
      </c>
      <c r="C2" t="s">
        <v>8</v>
      </c>
      <c r="D2">
        <v>2018</v>
      </c>
      <c r="E2" t="s">
        <v>9</v>
      </c>
      <c r="F2">
        <v>45924000000</v>
      </c>
      <c r="G2" t="str" cm="1">
        <f t="array" ref="G2">_xlfn.SWITCH(TRUE(),
    OR(B2="الأصول غير المالية"), "الأصول غير المالية",
    OR(B2="الإعانات"), "الإعانات",
    OR(B2="السلع والخدمات"), "السلع والخدمات",
    OR(B2="المنافع الاجتماعية"), "المنافع الاجتماعية",
    OR(B2="المنح"), "المنح",
    OR(B2="تعويضات العاملين"), "تعويضات العاملين",
    OR(B2="مصاريف أخرى"), "مصاريف أخرى",
    OR(B2="نفقات تمويل"), "نفقات تمويل",
    "Other"
)</f>
        <v>Other</v>
      </c>
    </row>
    <row r="3" spans="1:7" x14ac:dyDescent="0.35">
      <c r="A3" t="s">
        <v>6</v>
      </c>
      <c r="B3" t="s">
        <v>10</v>
      </c>
      <c r="C3" t="s">
        <v>8</v>
      </c>
      <c r="D3">
        <v>2018</v>
      </c>
      <c r="E3" t="s">
        <v>9</v>
      </c>
      <c r="F3">
        <v>105085000000</v>
      </c>
      <c r="G3" t="str" cm="1">
        <f t="array" ref="G3">_xlfn.SWITCH(TRUE(),
    OR(B3="الأصول غير المالية"), "الأصول غير المالية",
    OR(B3="الإعانات"), "الإعانات",
    OR(B3="السلع والخدمات"), "السلع والخدمات",
    OR(B3="المنافع الاجتماعية"), "المنافع الاجتماعية",
    OR(B3="المنح"), "المنح",
    OR(B3="تعويضات العاملين"), "تعويضات العاملين",
    OR(B3="مصاريف أخرى"), "مصاريف أخرى",
    OR(B3="نفقات تمويل"), "نفقات تمويل",
    "Other"
)</f>
        <v>Other</v>
      </c>
    </row>
    <row r="4" spans="1:7" x14ac:dyDescent="0.35">
      <c r="A4" t="s">
        <v>6</v>
      </c>
      <c r="B4" t="s">
        <v>11</v>
      </c>
      <c r="C4" t="s">
        <v>8</v>
      </c>
      <c r="D4">
        <v>2018</v>
      </c>
      <c r="E4" t="s">
        <v>9</v>
      </c>
      <c r="F4">
        <v>242362000000</v>
      </c>
      <c r="G4" t="str" cm="1">
        <f t="array" ref="G4">_xlfn.SWITCH(TRUE(),
    OR(B4="الأصول غير المالية"), "الأصول غير المالية",
    OR(B4="الإعانات"), "الإعانات",
    OR(B4="السلع والخدمات"), "السلع والخدمات",
    OR(B4="المنافع الاجتماعية"), "المنافع الاجتماعية",
    OR(B4="المنح"), "المنح",
    OR(B4="تعويضات العاملين"), "تعويضات العاملين",
    OR(B4="مصاريف أخرى"), "مصاريف أخرى",
    OR(B4="نفقات تمويل"), "نفقات تمويل",
    "Other"
)</f>
        <v>Other</v>
      </c>
    </row>
    <row r="5" spans="1:7" x14ac:dyDescent="0.35">
      <c r="A5" t="s">
        <v>6</v>
      </c>
      <c r="B5" t="s">
        <v>12</v>
      </c>
      <c r="C5" t="s">
        <v>8</v>
      </c>
      <c r="D5">
        <v>2018</v>
      </c>
      <c r="E5" t="s">
        <v>9</v>
      </c>
      <c r="F5">
        <v>175487000000</v>
      </c>
      <c r="G5" t="str" cm="1">
        <f t="array" ref="G5">_xlfn.SWITCH(TRUE(),
    OR(B5="الأصول غير المالية"), "الأصول غير المالية",
    OR(B5="الإعانات"), "الإعانات",
    OR(B5="السلع والخدمات"), "السلع والخدمات",
    OR(B5="المنافع الاجتماعية"), "المنافع الاجتماعية",
    OR(B5="المنح"), "المنح",
    OR(B5="تعويضات العاملين"), "تعويضات العاملين",
    OR(B5="مصاريف أخرى"), "مصاريف أخرى",
    OR(B5="نفقات تمويل"), "نفقات تمويل",
    "Other"
)</f>
        <v>Other</v>
      </c>
    </row>
    <row r="6" spans="1:7" x14ac:dyDescent="0.35">
      <c r="A6" t="s">
        <v>6</v>
      </c>
      <c r="B6" t="s">
        <v>13</v>
      </c>
      <c r="C6" t="s">
        <v>8</v>
      </c>
      <c r="D6">
        <v>2018</v>
      </c>
      <c r="E6" t="s">
        <v>9</v>
      </c>
      <c r="F6">
        <v>208993000000</v>
      </c>
      <c r="G6" t="str" cm="1">
        <f t="array" ref="G6">_xlfn.SWITCH(TRUE(),
    OR(B6="الأصول غير المالية"), "الأصول غير المالية",
    OR(B6="الإعانات"), "الإعانات",
    OR(B6="السلع والخدمات"), "السلع والخدمات",
    OR(B6="المنافع الاجتماعية"), "المنافع الاجتماعية",
    OR(B6="المنح"), "المنح",
    OR(B6="تعويضات العاملين"), "تعويضات العاملين",
    OR(B6="مصاريف أخرى"), "مصاريف أخرى",
    OR(B6="نفقات تمويل"), "نفقات تمويل",
    "Other"
)</f>
        <v>Other</v>
      </c>
    </row>
    <row r="7" spans="1:7" x14ac:dyDescent="0.35">
      <c r="A7" t="s">
        <v>6</v>
      </c>
      <c r="B7" t="s">
        <v>14</v>
      </c>
      <c r="C7" t="s">
        <v>8</v>
      </c>
      <c r="D7">
        <v>2018</v>
      </c>
      <c r="E7" t="s">
        <v>9</v>
      </c>
      <c r="F7">
        <v>48596000000</v>
      </c>
      <c r="G7" t="str" cm="1">
        <f t="array" ref="G7">_xlfn.SWITCH(TRUE(),
    OR(B7="الأصول غير المالية"), "الأصول غير المالية",
    OR(B7="الإعانات"), "الإعانات",
    OR(B7="السلع والخدمات"), "السلع والخدمات",
    OR(B7="المنافع الاجتماعية"), "المنافع الاجتماعية",
    OR(B7="المنح"), "المنح",
    OR(B7="تعويضات العاملين"), "تعويضات العاملين",
    OR(B7="مصاريف أخرى"), "مصاريف أخرى",
    OR(B7="نفقات تمويل"), "نفقات تمويل",
    "Other"
)</f>
        <v>Other</v>
      </c>
    </row>
    <row r="8" spans="1:7" x14ac:dyDescent="0.35">
      <c r="A8" t="s">
        <v>6</v>
      </c>
      <c r="B8" t="s">
        <v>15</v>
      </c>
      <c r="C8" t="s">
        <v>8</v>
      </c>
      <c r="D8">
        <v>2018</v>
      </c>
      <c r="E8" t="s">
        <v>9</v>
      </c>
      <c r="F8">
        <v>108451000000</v>
      </c>
      <c r="G8" t="str" cm="1">
        <f t="array" ref="G8">_xlfn.SWITCH(TRUE(),
    OR(B8="الأصول غير المالية"), "الأصول غير المالية",
    OR(B8="الإعانات"), "الإعانات",
    OR(B8="السلع والخدمات"), "السلع والخدمات",
    OR(B8="المنافع الاجتماعية"), "المنافع الاجتماعية",
    OR(B8="المنح"), "المنح",
    OR(B8="تعويضات العاملين"), "تعويضات العاملين",
    OR(B8="مصاريف أخرى"), "مصاريف أخرى",
    OR(B8="نفقات تمويل"), "نفقات تمويل",
    "Other"
)</f>
        <v>Other</v>
      </c>
    </row>
    <row r="9" spans="1:7" x14ac:dyDescent="0.35">
      <c r="A9" t="s">
        <v>6</v>
      </c>
      <c r="B9" t="s">
        <v>16</v>
      </c>
      <c r="C9" t="s">
        <v>8</v>
      </c>
      <c r="D9">
        <v>2018</v>
      </c>
      <c r="E9" t="s">
        <v>9</v>
      </c>
      <c r="F9">
        <v>113437000000</v>
      </c>
      <c r="G9" t="str" cm="1">
        <f t="array" ref="G9">_xlfn.SWITCH(TRUE(),
    OR(B9="الأصول غير المالية"), "الأصول غير المالية",
    OR(B9="الإعانات"), "الإعانات",
    OR(B9="السلع والخدمات"), "السلع والخدمات",
    OR(B9="المنافع الاجتماعية"), "المنافع الاجتماعية",
    OR(B9="المنح"), "المنح",
    OR(B9="تعويضات العاملين"), "تعويضات العاملين",
    OR(B9="مصاريف أخرى"), "مصاريف أخرى",
    OR(B9="نفقات تمويل"), "نفقات تمويل",
    "Other"
)</f>
        <v>Other</v>
      </c>
    </row>
    <row r="10" spans="1:7" x14ac:dyDescent="0.35">
      <c r="A10" t="s">
        <v>6</v>
      </c>
      <c r="B10" t="s">
        <v>17</v>
      </c>
      <c r="C10" t="s">
        <v>8</v>
      </c>
      <c r="D10">
        <v>2018</v>
      </c>
      <c r="E10" t="s">
        <v>9</v>
      </c>
      <c r="F10">
        <v>31132000000</v>
      </c>
      <c r="G10" t="str" cm="1">
        <f t="array" ref="G10">_xlfn.SWITCH(TRUE(),
    OR(B10="الأصول غير المالية"), "الأصول غير المالية",
    OR(B10="الإعانات"), "الإعانات",
    OR(B10="السلع والخدمات"), "السلع والخدمات",
    OR(B10="المنافع الاجتماعية"), "المنافع الاجتماعية",
    OR(B10="المنح"), "المنح",
    OR(B10="تعويضات العاملين"), "تعويضات العاملين",
    OR(B10="مصاريف أخرى"), "مصاريف أخرى",
    OR(B10="نفقات تمويل"), "نفقات تمويل",
    "Other"
)</f>
        <v>Other</v>
      </c>
    </row>
    <row r="11" spans="1:7" x14ac:dyDescent="0.35">
      <c r="A11" t="s">
        <v>6</v>
      </c>
      <c r="B11" t="s">
        <v>7</v>
      </c>
      <c r="C11" t="s">
        <v>8</v>
      </c>
      <c r="D11">
        <v>2019</v>
      </c>
      <c r="E11" t="s">
        <v>9</v>
      </c>
      <c r="F11">
        <v>49898000000</v>
      </c>
      <c r="G11" t="str" cm="1">
        <f t="array" ref="G11">_xlfn.SWITCH(TRUE(),
    OR(B11="الأصول غير المالية"), "الأصول غير المالية",
    OR(B11="الإعانات"), "الإعانات",
    OR(B11="السلع والخدمات"), "السلع والخدمات",
    OR(B11="المنافع الاجتماعية"), "المنافع الاجتماعية",
    OR(B11="المنح"), "المنح",
    OR(B11="تعويضات العاملين"), "تعويضات العاملين",
    OR(B11="مصاريف أخرى"), "مصاريف أخرى",
    OR(B11="نفقات تمويل"), "نفقات تمويل",
    "Other"
)</f>
        <v>Other</v>
      </c>
    </row>
    <row r="12" spans="1:7" x14ac:dyDescent="0.35">
      <c r="A12" t="s">
        <v>6</v>
      </c>
      <c r="B12" t="s">
        <v>10</v>
      </c>
      <c r="C12" t="s">
        <v>8</v>
      </c>
      <c r="D12">
        <v>2019</v>
      </c>
      <c r="E12" t="s">
        <v>9</v>
      </c>
      <c r="F12">
        <v>93527000000</v>
      </c>
      <c r="G12" t="str" cm="1">
        <f t="array" ref="G12">_xlfn.SWITCH(TRUE(),
    OR(B12="الأصول غير المالية"), "الأصول غير المالية",
    OR(B12="الإعانات"), "الإعانات",
    OR(B12="السلع والخدمات"), "السلع والخدمات",
    OR(B12="المنافع الاجتماعية"), "المنافع الاجتماعية",
    OR(B12="المنح"), "المنح",
    OR(B12="تعويضات العاملين"), "تعويضات العاملين",
    OR(B12="مصاريف أخرى"), "مصاريف أخرى",
    OR(B12="نفقات تمويل"), "نفقات تمويل",
    "Other"
)</f>
        <v>Other</v>
      </c>
    </row>
    <row r="13" spans="1:7" x14ac:dyDescent="0.35">
      <c r="A13" t="s">
        <v>6</v>
      </c>
      <c r="B13" t="s">
        <v>17</v>
      </c>
      <c r="C13" t="s">
        <v>8</v>
      </c>
      <c r="D13">
        <v>2019</v>
      </c>
      <c r="E13" t="s">
        <v>9</v>
      </c>
      <c r="F13">
        <v>30929000000</v>
      </c>
      <c r="G13" t="str" cm="1">
        <f t="array" ref="G13">_xlfn.SWITCH(TRUE(),
    OR(B13="الأصول غير المالية"), "الأصول غير المالية",
    OR(B13="الإعانات"), "الإعانات",
    OR(B13="السلع والخدمات"), "السلع والخدمات",
    OR(B13="المنافع الاجتماعية"), "المنافع الاجتماعية",
    OR(B13="المنح"), "المنح",
    OR(B13="تعويضات العاملين"), "تعويضات العاملين",
    OR(B13="مصاريف أخرى"), "مصاريف أخرى",
    OR(B13="نفقات تمويل"), "نفقات تمويل",
    "Other"
)</f>
        <v>Other</v>
      </c>
    </row>
    <row r="14" spans="1:7" x14ac:dyDescent="0.35">
      <c r="A14" t="s">
        <v>6</v>
      </c>
      <c r="B14" t="s">
        <v>11</v>
      </c>
      <c r="C14" t="s">
        <v>8</v>
      </c>
      <c r="D14">
        <v>2019</v>
      </c>
      <c r="E14" t="s">
        <v>9</v>
      </c>
      <c r="F14">
        <v>207593000000</v>
      </c>
      <c r="G14" t="str" cm="1">
        <f t="array" ref="G14">_xlfn.SWITCH(TRUE(),
    OR(B14="الأصول غير المالية"), "الأصول غير المالية",
    OR(B14="الإعانات"), "الإعانات",
    OR(B14="السلع والخدمات"), "السلع والخدمات",
    OR(B14="المنافع الاجتماعية"), "المنافع الاجتماعية",
    OR(B14="المنح"), "المنح",
    OR(B14="تعويضات العاملين"), "تعويضات العاملين",
    OR(B14="مصاريف أخرى"), "مصاريف أخرى",
    OR(B14="نفقات تمويل"), "نفقات تمويل",
    "Other"
)</f>
        <v>Other</v>
      </c>
    </row>
    <row r="15" spans="1:7" x14ac:dyDescent="0.35">
      <c r="A15" t="s">
        <v>6</v>
      </c>
      <c r="B15" t="s">
        <v>16</v>
      </c>
      <c r="C15" t="s">
        <v>8</v>
      </c>
      <c r="D15">
        <v>2019</v>
      </c>
      <c r="E15" t="s">
        <v>9</v>
      </c>
      <c r="F15">
        <v>113687000000</v>
      </c>
      <c r="G15" t="str" cm="1">
        <f t="array" ref="G15">_xlfn.SWITCH(TRUE(),
    OR(B15="الأصول غير المالية"), "الأصول غير المالية",
    OR(B15="الإعانات"), "الإعانات",
    OR(B15="السلع والخدمات"), "السلع والخدمات",
    OR(B15="المنافع الاجتماعية"), "المنافع الاجتماعية",
    OR(B15="المنح"), "المنح",
    OR(B15="تعويضات العاملين"), "تعويضات العاملين",
    OR(B15="مصاريف أخرى"), "مصاريف أخرى",
    OR(B15="نفقات تمويل"), "نفقات تمويل",
    "Other"
)</f>
        <v>Other</v>
      </c>
    </row>
    <row r="16" spans="1:7" x14ac:dyDescent="0.35">
      <c r="A16" t="s">
        <v>6</v>
      </c>
      <c r="B16" t="s">
        <v>15</v>
      </c>
      <c r="C16" t="s">
        <v>8</v>
      </c>
      <c r="D16">
        <v>2019</v>
      </c>
      <c r="E16" t="s">
        <v>9</v>
      </c>
      <c r="F16">
        <v>112840000000</v>
      </c>
      <c r="G16" t="str" cm="1">
        <f t="array" ref="G16">_xlfn.SWITCH(TRUE(),
    OR(B16="الأصول غير المالية"), "الأصول غير المالية",
    OR(B16="الإعانات"), "الإعانات",
    OR(B16="السلع والخدمات"), "السلع والخدمات",
    OR(B16="المنافع الاجتماعية"), "المنافع الاجتماعية",
    OR(B16="المنح"), "المنح",
    OR(B16="تعويضات العاملين"), "تعويضات العاملين",
    OR(B16="مصاريف أخرى"), "مصاريف أخرى",
    OR(B16="نفقات تمويل"), "نفقات تمويل",
    "Other"
)</f>
        <v>Other</v>
      </c>
    </row>
    <row r="17" spans="1:7" x14ac:dyDescent="0.35">
      <c r="A17" t="s">
        <v>6</v>
      </c>
      <c r="B17" t="s">
        <v>14</v>
      </c>
      <c r="C17" t="s">
        <v>8</v>
      </c>
      <c r="D17">
        <v>2019</v>
      </c>
      <c r="E17" t="s">
        <v>9</v>
      </c>
      <c r="F17">
        <v>58595000000</v>
      </c>
      <c r="G17" t="str" cm="1">
        <f t="array" ref="G17">_xlfn.SWITCH(TRUE(),
    OR(B17="الأصول غير المالية"), "الأصول غير المالية",
    OR(B17="الإعانات"), "الإعانات",
    OR(B17="السلع والخدمات"), "السلع والخدمات",
    OR(B17="المنافع الاجتماعية"), "المنافع الاجتماعية",
    OR(B17="المنح"), "المنح",
    OR(B17="تعويضات العاملين"), "تعويضات العاملين",
    OR(B17="مصاريف أخرى"), "مصاريف أخرى",
    OR(B17="نفقات تمويل"), "نفقات تمويل",
    "Other"
)</f>
        <v>Other</v>
      </c>
    </row>
    <row r="18" spans="1:7" x14ac:dyDescent="0.35">
      <c r="A18" t="s">
        <v>6</v>
      </c>
      <c r="B18" t="s">
        <v>13</v>
      </c>
      <c r="C18" t="s">
        <v>8</v>
      </c>
      <c r="D18">
        <v>2019</v>
      </c>
      <c r="E18" t="s">
        <v>9</v>
      </c>
      <c r="F18">
        <v>202050000000</v>
      </c>
      <c r="G18" t="str" cm="1">
        <f t="array" ref="G18">_xlfn.SWITCH(TRUE(),
    OR(B18="الأصول غير المالية"), "الأصول غير المالية",
    OR(B18="الإعانات"), "الإعانات",
    OR(B18="السلع والخدمات"), "السلع والخدمات",
    OR(B18="المنافع الاجتماعية"), "المنافع الاجتماعية",
    OR(B18="المنح"), "المنح",
    OR(B18="تعويضات العاملين"), "تعويضات العاملين",
    OR(B18="مصاريف أخرى"), "مصاريف أخرى",
    OR(B18="نفقات تمويل"), "نفقات تمويل",
    "Other"
)</f>
        <v>Other</v>
      </c>
    </row>
    <row r="19" spans="1:7" x14ac:dyDescent="0.35">
      <c r="A19" t="s">
        <v>6</v>
      </c>
      <c r="B19" t="s">
        <v>12</v>
      </c>
      <c r="C19" t="s">
        <v>8</v>
      </c>
      <c r="D19">
        <v>2019</v>
      </c>
      <c r="E19" t="s">
        <v>9</v>
      </c>
      <c r="F19">
        <v>190325000000</v>
      </c>
      <c r="G19" t="str" cm="1">
        <f t="array" ref="G19">_xlfn.SWITCH(TRUE(),
    OR(B19="الأصول غير المالية"), "الأصول غير المالية",
    OR(B19="الإعانات"), "الإعانات",
    OR(B19="السلع والخدمات"), "السلع والخدمات",
    OR(B19="المنافع الاجتماعية"), "المنافع الاجتماعية",
    OR(B19="المنح"), "المنح",
    OR(B19="تعويضات العاملين"), "تعويضات العاملين",
    OR(B19="مصاريف أخرى"), "مصاريف أخرى",
    OR(B19="نفقات تمويل"), "نفقات تمويل",
    "Other"
)</f>
        <v>Other</v>
      </c>
    </row>
    <row r="20" spans="1:7" x14ac:dyDescent="0.35">
      <c r="A20" t="s">
        <v>6</v>
      </c>
      <c r="B20" t="s">
        <v>13</v>
      </c>
      <c r="C20" t="s">
        <v>8</v>
      </c>
      <c r="D20">
        <v>2020</v>
      </c>
      <c r="E20" t="s">
        <v>9</v>
      </c>
      <c r="F20">
        <v>205029000000</v>
      </c>
      <c r="G20" t="str" cm="1">
        <f t="array" ref="G20">_xlfn.SWITCH(TRUE(),
    OR(B20="الأصول غير المالية"), "الأصول غير المالية",
    OR(B20="الإعانات"), "الإعانات",
    OR(B20="السلع والخدمات"), "السلع والخدمات",
    OR(B20="المنافع الاجتماعية"), "المنافع الاجتماعية",
    OR(B20="المنح"), "المنح",
    OR(B20="تعويضات العاملين"), "تعويضات العاملين",
    OR(B20="مصاريف أخرى"), "مصاريف أخرى",
    OR(B20="نفقات تمويل"), "نفقات تمويل",
    "Other"
)</f>
        <v>Other</v>
      </c>
    </row>
    <row r="21" spans="1:7" x14ac:dyDescent="0.35">
      <c r="A21" t="s">
        <v>6</v>
      </c>
      <c r="B21" t="s">
        <v>14</v>
      </c>
      <c r="C21" t="s">
        <v>8</v>
      </c>
      <c r="D21">
        <v>2020</v>
      </c>
      <c r="E21" t="s">
        <v>9</v>
      </c>
      <c r="F21">
        <v>59685000000</v>
      </c>
      <c r="G21" t="str" cm="1">
        <f t="array" ref="G21">_xlfn.SWITCH(TRUE(),
    OR(B21="الأصول غير المالية"), "الأصول غير المالية",
    OR(B21="الإعانات"), "الإعانات",
    OR(B21="السلع والخدمات"), "السلع والخدمات",
    OR(B21="المنافع الاجتماعية"), "المنافع الاجتماعية",
    OR(B21="المنح"), "المنح",
    OR(B21="تعويضات العاملين"), "تعويضات العاملين",
    OR(B21="مصاريف أخرى"), "مصاريف أخرى",
    OR(B21="نفقات تمويل"), "نفقات تمويل",
    "Other"
)</f>
        <v>Other</v>
      </c>
    </row>
    <row r="22" spans="1:7" x14ac:dyDescent="0.35">
      <c r="A22" t="s">
        <v>6</v>
      </c>
      <c r="B22" t="s">
        <v>15</v>
      </c>
      <c r="C22" t="s">
        <v>8</v>
      </c>
      <c r="D22">
        <v>2020</v>
      </c>
      <c r="E22" t="s">
        <v>9</v>
      </c>
      <c r="F22">
        <v>156439000000</v>
      </c>
      <c r="G22" t="str" cm="1">
        <f t="array" ref="G22">_xlfn.SWITCH(TRUE(),
    OR(B22="الأصول غير المالية"), "الأصول غير المالية",
    OR(B22="الإعانات"), "الإعانات",
    OR(B22="السلع والخدمات"), "السلع والخدمات",
    OR(B22="المنافع الاجتماعية"), "المنافع الاجتماعية",
    OR(B22="المنح"), "المنح",
    OR(B22="تعويضات العاملين"), "تعويضات العاملين",
    OR(B22="مصاريف أخرى"), "مصاريف أخرى",
    OR(B22="نفقات تمويل"), "نفقات تمويل",
    "Other"
)</f>
        <v>Other</v>
      </c>
    </row>
    <row r="23" spans="1:7" x14ac:dyDescent="0.35">
      <c r="A23" t="s">
        <v>6</v>
      </c>
      <c r="B23" t="s">
        <v>16</v>
      </c>
      <c r="C23" t="s">
        <v>8</v>
      </c>
      <c r="D23">
        <v>2020</v>
      </c>
      <c r="E23" t="s">
        <v>9</v>
      </c>
      <c r="F23">
        <v>115057000000</v>
      </c>
      <c r="G23" t="str" cm="1">
        <f t="array" ref="G23">_xlfn.SWITCH(TRUE(),
    OR(B23="الأصول غير المالية"), "الأصول غير المالية",
    OR(B23="الإعانات"), "الإعانات",
    OR(B23="السلع والخدمات"), "السلع والخدمات",
    OR(B23="المنافع الاجتماعية"), "المنافع الاجتماعية",
    OR(B23="المنح"), "المنح",
    OR(B23="تعويضات العاملين"), "تعويضات العاملين",
    OR(B23="مصاريف أخرى"), "مصاريف أخرى",
    OR(B23="نفقات تمويل"), "نفقات تمويل",
    "Other"
)</f>
        <v>Other</v>
      </c>
    </row>
    <row r="24" spans="1:7" x14ac:dyDescent="0.35">
      <c r="A24" t="s">
        <v>6</v>
      </c>
      <c r="B24" t="s">
        <v>12</v>
      </c>
      <c r="C24" t="s">
        <v>8</v>
      </c>
      <c r="D24">
        <v>2020</v>
      </c>
      <c r="E24" t="s">
        <v>9</v>
      </c>
      <c r="F24">
        <v>190372000000</v>
      </c>
      <c r="G24" t="str" cm="1">
        <f t="array" ref="G24">_xlfn.SWITCH(TRUE(),
    OR(B24="الأصول غير المالية"), "الأصول غير المالية",
    OR(B24="الإعانات"), "الإعانات",
    OR(B24="السلع والخدمات"), "السلع والخدمات",
    OR(B24="المنافع الاجتماعية"), "المنافع الاجتماعية",
    OR(B24="المنح"), "المنح",
    OR(B24="تعويضات العاملين"), "تعويضات العاملين",
    OR(B24="مصاريف أخرى"), "مصاريف أخرى",
    OR(B24="نفقات تمويل"), "نفقات تمويل",
    "Other"
)</f>
        <v>Other</v>
      </c>
    </row>
    <row r="25" spans="1:7" x14ac:dyDescent="0.35">
      <c r="A25" t="s">
        <v>6</v>
      </c>
      <c r="B25" t="s">
        <v>17</v>
      </c>
      <c r="C25" t="s">
        <v>8</v>
      </c>
      <c r="D25">
        <v>2020</v>
      </c>
      <c r="E25" t="s">
        <v>9</v>
      </c>
      <c r="F25">
        <v>36218000000</v>
      </c>
      <c r="G25" t="str" cm="1">
        <f t="array" ref="G25">_xlfn.SWITCH(TRUE(),
    OR(B25="الأصول غير المالية"), "الأصول غير المالية",
    OR(B25="الإعانات"), "الإعانات",
    OR(B25="السلع والخدمات"), "السلع والخدمات",
    OR(B25="المنافع الاجتماعية"), "المنافع الاجتماعية",
    OR(B25="المنح"), "المنح",
    OR(B25="تعويضات العاملين"), "تعويضات العاملين",
    OR(B25="مصاريف أخرى"), "مصاريف أخرى",
    OR(B25="نفقات تمويل"), "نفقات تمويل",
    "Other"
)</f>
        <v>Other</v>
      </c>
    </row>
    <row r="26" spans="1:7" x14ac:dyDescent="0.35">
      <c r="A26" t="s">
        <v>6</v>
      </c>
      <c r="B26" t="s">
        <v>11</v>
      </c>
      <c r="C26" t="s">
        <v>8</v>
      </c>
      <c r="D26">
        <v>2020</v>
      </c>
      <c r="E26" t="s">
        <v>9</v>
      </c>
      <c r="F26">
        <v>204125000000</v>
      </c>
      <c r="G26" t="str" cm="1">
        <f t="array" ref="G26">_xlfn.SWITCH(TRUE(),
    OR(B26="الأصول غير المالية"), "الأصول غير المالية",
    OR(B26="الإعانات"), "الإعانات",
    OR(B26="السلع والخدمات"), "السلع والخدمات",
    OR(B26="المنافع الاجتماعية"), "المنافع الاجتماعية",
    OR(B26="المنح"), "المنح",
    OR(B26="تعويضات العاملين"), "تعويضات العاملين",
    OR(B26="مصاريف أخرى"), "مصاريف أخرى",
    OR(B26="نفقات تمويل"), "نفقات تمويل",
    "Other"
)</f>
        <v>Other</v>
      </c>
    </row>
    <row r="27" spans="1:7" x14ac:dyDescent="0.35">
      <c r="A27" t="s">
        <v>6</v>
      </c>
      <c r="B27" t="s">
        <v>10</v>
      </c>
      <c r="C27" t="s">
        <v>8</v>
      </c>
      <c r="D27">
        <v>2020</v>
      </c>
      <c r="E27" t="s">
        <v>9</v>
      </c>
      <c r="F27">
        <v>61463000000</v>
      </c>
      <c r="G27" t="str" cm="1">
        <f t="array" ref="G27">_xlfn.SWITCH(TRUE(),
    OR(B27="الأصول غير المالية"), "الأصول غير المالية",
    OR(B27="الإعانات"), "الإعانات",
    OR(B27="السلع والخدمات"), "السلع والخدمات",
    OR(B27="المنافع الاجتماعية"), "المنافع الاجتماعية",
    OR(B27="المنح"), "المنح",
    OR(B27="تعويضات العاملين"), "تعويضات العاملين",
    OR(B27="مصاريف أخرى"), "مصاريف أخرى",
    OR(B27="نفقات تمويل"), "نفقات تمويل",
    "Other"
)</f>
        <v>Other</v>
      </c>
    </row>
    <row r="28" spans="1:7" x14ac:dyDescent="0.35">
      <c r="A28" t="s">
        <v>6</v>
      </c>
      <c r="B28" t="s">
        <v>7</v>
      </c>
      <c r="C28" t="s">
        <v>8</v>
      </c>
      <c r="D28">
        <v>2020</v>
      </c>
      <c r="E28" t="s">
        <v>9</v>
      </c>
      <c r="F28">
        <v>47347000000</v>
      </c>
      <c r="G28" t="str" cm="1">
        <f t="array" ref="G28">_xlfn.SWITCH(TRUE(),
    OR(B28="الأصول غير المالية"), "الأصول غير المالية",
    OR(B28="الإعانات"), "الإعانات",
    OR(B28="السلع والخدمات"), "السلع والخدمات",
    OR(B28="المنافع الاجتماعية"), "المنافع الاجتماعية",
    OR(B28="المنح"), "المنح",
    OR(B28="تعويضات العاملين"), "تعويضات العاملين",
    OR(B28="مصاريف أخرى"), "مصاريف أخرى",
    OR(B28="نفقات تمويل"), "نفقات تمويل",
    "Other"
)</f>
        <v>Other</v>
      </c>
    </row>
    <row r="29" spans="1:7" x14ac:dyDescent="0.35">
      <c r="A29" t="s">
        <v>6</v>
      </c>
      <c r="B29" t="s">
        <v>10</v>
      </c>
      <c r="C29" t="s">
        <v>8</v>
      </c>
      <c r="D29">
        <v>2021</v>
      </c>
      <c r="E29" t="s">
        <v>9</v>
      </c>
      <c r="F29">
        <v>71067767790</v>
      </c>
      <c r="G29" t="str" cm="1">
        <f t="array" ref="G29">_xlfn.SWITCH(TRUE(),
    OR(B29="الأصول غير المالية"), "الأصول غير المالية",
    OR(B29="الإعانات"), "الإعانات",
    OR(B29="السلع والخدمات"), "السلع والخدمات",
    OR(B29="المنافع الاجتماعية"), "المنافع الاجتماعية",
    OR(B29="المنح"), "المنح",
    OR(B29="تعويضات العاملين"), "تعويضات العاملين",
    OR(B29="مصاريف أخرى"), "مصاريف أخرى",
    OR(B29="نفقات تمويل"), "نفقات تمويل",
    "Other"
)</f>
        <v>Other</v>
      </c>
    </row>
    <row r="30" spans="1:7" x14ac:dyDescent="0.35">
      <c r="A30" t="s">
        <v>6</v>
      </c>
      <c r="B30" t="s">
        <v>17</v>
      </c>
      <c r="C30" t="s">
        <v>8</v>
      </c>
      <c r="D30">
        <v>2021</v>
      </c>
      <c r="E30" t="s">
        <v>9</v>
      </c>
      <c r="F30">
        <v>34165296800</v>
      </c>
      <c r="G30" t="str" cm="1">
        <f t="array" ref="G30">_xlfn.SWITCH(TRUE(),
    OR(B30="الأصول غير المالية"), "الأصول غير المالية",
    OR(B30="الإعانات"), "الإعانات",
    OR(B30="السلع والخدمات"), "السلع والخدمات",
    OR(B30="المنافع الاجتماعية"), "المنافع الاجتماعية",
    OR(B30="المنح"), "المنح",
    OR(B30="تعويضات العاملين"), "تعويضات العاملين",
    OR(B30="مصاريف أخرى"), "مصاريف أخرى",
    OR(B30="نفقات تمويل"), "نفقات تمويل",
    "Other"
)</f>
        <v>Other</v>
      </c>
    </row>
    <row r="31" spans="1:7" x14ac:dyDescent="0.35">
      <c r="A31" t="s">
        <v>6</v>
      </c>
      <c r="B31" t="s">
        <v>11</v>
      </c>
      <c r="C31" t="s">
        <v>8</v>
      </c>
      <c r="D31">
        <v>2021</v>
      </c>
      <c r="E31" t="s">
        <v>9</v>
      </c>
      <c r="F31">
        <v>201891102800</v>
      </c>
      <c r="G31" t="str" cm="1">
        <f t="array" ref="G31">_xlfn.SWITCH(TRUE(),
    OR(B31="الأصول غير المالية"), "الأصول غير المالية",
    OR(B31="الإعانات"), "الإعانات",
    OR(B31="السلع والخدمات"), "السلع والخدمات",
    OR(B31="المنافع الاجتماعية"), "المنافع الاجتماعية",
    OR(B31="المنح"), "المنح",
    OR(B31="تعويضات العاملين"), "تعويضات العاملين",
    OR(B31="مصاريف أخرى"), "مصاريف أخرى",
    OR(B31="نفقات تمويل"), "نفقات تمويل",
    "Other"
)</f>
        <v>Other</v>
      </c>
    </row>
    <row r="32" spans="1:7" x14ac:dyDescent="0.35">
      <c r="A32" t="s">
        <v>6</v>
      </c>
      <c r="B32" t="s">
        <v>16</v>
      </c>
      <c r="C32" t="s">
        <v>8</v>
      </c>
      <c r="D32">
        <v>2021</v>
      </c>
      <c r="E32" t="s">
        <v>9</v>
      </c>
      <c r="F32">
        <v>106485949500</v>
      </c>
      <c r="G32" t="str" cm="1">
        <f t="array" ref="G32">_xlfn.SWITCH(TRUE(),
    OR(B32="الأصول غير المالية"), "الأصول غير المالية",
    OR(B32="الإعانات"), "الإعانات",
    OR(B32="السلع والخدمات"), "السلع والخدمات",
    OR(B32="المنافع الاجتماعية"), "المنافع الاجتماعية",
    OR(B32="المنح"), "المنح",
    OR(B32="تعويضات العاملين"), "تعويضات العاملين",
    OR(B32="مصاريف أخرى"), "مصاريف أخرى",
    OR(B32="نفقات تمويل"), "نفقات تمويل",
    "Other"
)</f>
        <v>Other</v>
      </c>
    </row>
    <row r="33" spans="1:7" x14ac:dyDescent="0.35">
      <c r="A33" t="s">
        <v>6</v>
      </c>
      <c r="B33" t="s">
        <v>12</v>
      </c>
      <c r="C33" t="s">
        <v>8</v>
      </c>
      <c r="D33">
        <v>2021</v>
      </c>
      <c r="E33" t="s">
        <v>9</v>
      </c>
      <c r="F33">
        <v>197199563600</v>
      </c>
      <c r="G33" t="str" cm="1">
        <f t="array" ref="G33">_xlfn.SWITCH(TRUE(),
    OR(B33="الأصول غير المالية"), "الأصول غير المالية",
    OR(B33="الإعانات"), "الإعانات",
    OR(B33="السلع والخدمات"), "السلع والخدمات",
    OR(B33="المنافع الاجتماعية"), "المنافع الاجتماعية",
    OR(B33="المنح"), "المنح",
    OR(B33="تعويضات العاملين"), "تعويضات العاملين",
    OR(B33="مصاريف أخرى"), "مصاريف أخرى",
    OR(B33="نفقات تمويل"), "نفقات تمويل",
    "Other"
)</f>
        <v>Other</v>
      </c>
    </row>
    <row r="34" spans="1:7" x14ac:dyDescent="0.35">
      <c r="A34" t="s">
        <v>6</v>
      </c>
      <c r="B34" t="s">
        <v>15</v>
      </c>
      <c r="C34" t="s">
        <v>8</v>
      </c>
      <c r="D34">
        <v>2021</v>
      </c>
      <c r="E34" t="s">
        <v>9</v>
      </c>
      <c r="F34">
        <v>146659319000</v>
      </c>
      <c r="G34" t="str" cm="1">
        <f t="array" ref="G34">_xlfn.SWITCH(TRUE(),
    OR(B34="الأصول غير المالية"), "الأصول غير المالية",
    OR(B34="الإعانات"), "الإعانات",
    OR(B34="السلع والخدمات"), "السلع والخدمات",
    OR(B34="المنافع الاجتماعية"), "المنافع الاجتماعية",
    OR(B34="المنح"), "المنح",
    OR(B34="تعويضات العاملين"), "تعويضات العاملين",
    OR(B34="مصاريف أخرى"), "مصاريف أخرى",
    OR(B34="نفقات تمويل"), "نفقات تمويل",
    "Other"
)</f>
        <v>Other</v>
      </c>
    </row>
    <row r="35" spans="1:7" x14ac:dyDescent="0.35">
      <c r="A35" t="s">
        <v>6</v>
      </c>
      <c r="B35" t="s">
        <v>7</v>
      </c>
      <c r="C35" t="s">
        <v>8</v>
      </c>
      <c r="D35">
        <v>2021</v>
      </c>
      <c r="E35" t="s">
        <v>9</v>
      </c>
      <c r="F35">
        <v>38562739970</v>
      </c>
      <c r="G35" t="str" cm="1">
        <f t="array" ref="G35">_xlfn.SWITCH(TRUE(),
    OR(B35="الأصول غير المالية"), "الأصول غير المالية",
    OR(B35="الإعانات"), "الإعانات",
    OR(B35="السلع والخدمات"), "السلع والخدمات",
    OR(B35="المنافع الاجتماعية"), "المنافع الاجتماعية",
    OR(B35="المنح"), "المنح",
    OR(B35="تعويضات العاملين"), "تعويضات العاملين",
    OR(B35="مصاريف أخرى"), "مصاريف أخرى",
    OR(B35="نفقات تمويل"), "نفقات تمويل",
    "Other"
)</f>
        <v>Other</v>
      </c>
    </row>
    <row r="36" spans="1:7" x14ac:dyDescent="0.35">
      <c r="A36" t="s">
        <v>6</v>
      </c>
      <c r="B36" t="s">
        <v>14</v>
      </c>
      <c r="C36" t="s">
        <v>8</v>
      </c>
      <c r="D36">
        <v>2021</v>
      </c>
      <c r="E36" t="s">
        <v>9</v>
      </c>
      <c r="F36">
        <v>50993087810</v>
      </c>
      <c r="G36" t="str" cm="1">
        <f t="array" ref="G36">_xlfn.SWITCH(TRUE(),
    OR(B36="الأصول غير المالية"), "الأصول غير المالية",
    OR(B36="الإعانات"), "الإعانات",
    OR(B36="السلع والخدمات"), "السلع والخدمات",
    OR(B36="المنافع الاجتماعية"), "المنافع الاجتماعية",
    OR(B36="المنح"), "المنح",
    OR(B36="تعويضات العاملين"), "تعويضات العاملين",
    OR(B36="مصاريف أخرى"), "مصاريف أخرى",
    OR(B36="نفقات تمويل"), "نفقات تمويل",
    "Other"
)</f>
        <v>Other</v>
      </c>
    </row>
    <row r="37" spans="1:7" x14ac:dyDescent="0.35">
      <c r="A37" t="s">
        <v>6</v>
      </c>
      <c r="B37" t="s">
        <v>13</v>
      </c>
      <c r="C37" t="s">
        <v>8</v>
      </c>
      <c r="D37">
        <v>2021</v>
      </c>
      <c r="E37" t="s">
        <v>9</v>
      </c>
      <c r="F37">
        <v>191908247800</v>
      </c>
      <c r="G37" t="str" cm="1">
        <f t="array" ref="G37">_xlfn.SWITCH(TRUE(),
    OR(B37="الأصول غير المالية"), "الأصول غير المالية",
    OR(B37="الإعانات"), "الإعانات",
    OR(B37="السلع والخدمات"), "السلع والخدمات",
    OR(B37="المنافع الاجتماعية"), "المنافع الاجتماعية",
    OR(B37="المنح"), "المنح",
    OR(B37="تعويضات العاملين"), "تعويضات العاملين",
    OR(B37="مصاريف أخرى"), "مصاريف أخرى",
    OR(B37="نفقات تمويل"), "نفقات تمويل",
    "Other"
)</f>
        <v>Other</v>
      </c>
    </row>
    <row r="38" spans="1:7" x14ac:dyDescent="0.35">
      <c r="A38" t="s">
        <v>6</v>
      </c>
      <c r="B38" t="s">
        <v>13</v>
      </c>
      <c r="C38" t="s">
        <v>8</v>
      </c>
      <c r="D38">
        <v>2022</v>
      </c>
      <c r="E38" t="s">
        <v>9</v>
      </c>
      <c r="F38">
        <v>201522810800</v>
      </c>
      <c r="G38" t="str" cm="1">
        <f t="array" ref="G38">_xlfn.SWITCH(TRUE(),
    OR(B38="الأصول غير المالية"), "الأصول غير المالية",
    OR(B38="الإعانات"), "الإعانات",
    OR(B38="السلع والخدمات"), "السلع والخدمات",
    OR(B38="المنافع الاجتماعية"), "المنافع الاجتماعية",
    OR(B38="المنح"), "المنح",
    OR(B38="تعويضات العاملين"), "تعويضات العاملين",
    OR(B38="مصاريف أخرى"), "مصاريف أخرى",
    OR(B38="نفقات تمويل"), "نفقات تمويل",
    "Other"
)</f>
        <v>Other</v>
      </c>
    </row>
    <row r="39" spans="1:7" x14ac:dyDescent="0.35">
      <c r="A39" t="s">
        <v>6</v>
      </c>
      <c r="B39" t="s">
        <v>14</v>
      </c>
      <c r="C39" t="s">
        <v>8</v>
      </c>
      <c r="D39">
        <v>2022</v>
      </c>
      <c r="E39" t="s">
        <v>9</v>
      </c>
      <c r="F39">
        <v>41414265420</v>
      </c>
      <c r="G39" t="str" cm="1">
        <f t="array" ref="G39">_xlfn.SWITCH(TRUE(),
    OR(B39="الأصول غير المالية"), "الأصول غير المالية",
    OR(B39="الإعانات"), "الإعانات",
    OR(B39="السلع والخدمات"), "السلع والخدمات",
    OR(B39="المنافع الاجتماعية"), "المنافع الاجتماعية",
    OR(B39="المنح"), "المنح",
    OR(B39="تعويضات العاملين"), "تعويضات العاملين",
    OR(B39="مصاريف أخرى"), "مصاريف أخرى",
    OR(B39="نفقات تمويل"), "نفقات تمويل",
    "Other"
)</f>
        <v>Other</v>
      </c>
    </row>
    <row r="40" spans="1:7" x14ac:dyDescent="0.35">
      <c r="A40" t="s">
        <v>6</v>
      </c>
      <c r="B40" t="s">
        <v>7</v>
      </c>
      <c r="C40" t="s">
        <v>8</v>
      </c>
      <c r="D40">
        <v>2022</v>
      </c>
      <c r="E40" t="s">
        <v>9</v>
      </c>
      <c r="F40">
        <v>75447674180</v>
      </c>
      <c r="G40" t="str" cm="1">
        <f t="array" ref="G40">_xlfn.SWITCH(TRUE(),
    OR(B40="الأصول غير المالية"), "الأصول غير المالية",
    OR(B40="الإعانات"), "الإعانات",
    OR(B40="السلع والخدمات"), "السلع والخدمات",
    OR(B40="المنافع الاجتماعية"), "المنافع الاجتماعية",
    OR(B40="المنح"), "المنح",
    OR(B40="تعويضات العاملين"), "تعويضات العاملين",
    OR(B40="مصاريف أخرى"), "مصاريف أخرى",
    OR(B40="نفقات تمويل"), "نفقات تمويل",
    "Other"
)</f>
        <v>Other</v>
      </c>
    </row>
    <row r="41" spans="1:7" x14ac:dyDescent="0.35">
      <c r="A41" t="s">
        <v>6</v>
      </c>
      <c r="B41" t="s">
        <v>15</v>
      </c>
      <c r="C41" t="s">
        <v>8</v>
      </c>
      <c r="D41">
        <v>2022</v>
      </c>
      <c r="E41" t="s">
        <v>9</v>
      </c>
      <c r="F41">
        <v>159136981000</v>
      </c>
      <c r="G41" t="str" cm="1">
        <f t="array" ref="G41">_xlfn.SWITCH(TRUE(),
    OR(B41="الأصول غير المالية"), "الأصول غير المالية",
    OR(B41="الإعانات"), "الإعانات",
    OR(B41="السلع والخدمات"), "السلع والخدمات",
    OR(B41="المنافع الاجتماعية"), "المنافع الاجتماعية",
    OR(B41="المنح"), "المنح",
    OR(B41="تعويضات العاملين"), "تعويضات العاملين",
    OR(B41="مصاريف أخرى"), "مصاريف أخرى",
    OR(B41="نفقات تمويل"), "نفقات تمويل",
    "Other"
)</f>
        <v>Other</v>
      </c>
    </row>
    <row r="42" spans="1:7" x14ac:dyDescent="0.35">
      <c r="A42" t="s">
        <v>6</v>
      </c>
      <c r="B42" t="s">
        <v>12</v>
      </c>
      <c r="C42" t="s">
        <v>8</v>
      </c>
      <c r="D42">
        <v>2022</v>
      </c>
      <c r="E42" t="s">
        <v>9</v>
      </c>
      <c r="F42">
        <v>226636960500</v>
      </c>
      <c r="G42" t="str" cm="1">
        <f t="array" ref="G42">_xlfn.SWITCH(TRUE(),
    OR(B42="الأصول غير المالية"), "الأصول غير المالية",
    OR(B42="الإعانات"), "الإعانات",
    OR(B42="السلع والخدمات"), "السلع والخدمات",
    OR(B42="المنافع الاجتماعية"), "المنافع الاجتماعية",
    OR(B42="المنح"), "المنح",
    OR(B42="تعويضات العاملين"), "تعويضات العاملين",
    OR(B42="مصاريف أخرى"), "مصاريف أخرى",
    OR(B42="نفقات تمويل"), "نفقات تمويل",
    "Other"
)</f>
        <v>Other</v>
      </c>
    </row>
    <row r="43" spans="1:7" x14ac:dyDescent="0.35">
      <c r="A43" t="s">
        <v>6</v>
      </c>
      <c r="B43" t="s">
        <v>16</v>
      </c>
      <c r="C43" t="s">
        <v>8</v>
      </c>
      <c r="D43">
        <v>2022</v>
      </c>
      <c r="E43" t="s">
        <v>9</v>
      </c>
      <c r="F43">
        <v>114695871200</v>
      </c>
      <c r="G43" t="str" cm="1">
        <f t="array" ref="G43">_xlfn.SWITCH(TRUE(),
    OR(B43="الأصول غير المالية"), "الأصول غير المالية",
    OR(B43="الإعانات"), "الإعانات",
    OR(B43="السلع والخدمات"), "السلع والخدمات",
    OR(B43="المنافع الاجتماعية"), "المنافع الاجتماعية",
    OR(B43="المنح"), "المنح",
    OR(B43="تعويضات العاملين"), "تعويضات العاملين",
    OR(B43="مصاريف أخرى"), "مصاريف أخرى",
    OR(B43="نفقات تمويل"), "نفقات تمويل",
    "Other"
)</f>
        <v>Other</v>
      </c>
    </row>
    <row r="44" spans="1:7" x14ac:dyDescent="0.35">
      <c r="A44" t="s">
        <v>6</v>
      </c>
      <c r="B44" t="s">
        <v>11</v>
      </c>
      <c r="C44" t="s">
        <v>8</v>
      </c>
      <c r="D44">
        <v>2022</v>
      </c>
      <c r="E44" t="s">
        <v>9</v>
      </c>
      <c r="F44">
        <v>228067427400</v>
      </c>
      <c r="G44" t="str" cm="1">
        <f t="array" ref="G44">_xlfn.SWITCH(TRUE(),
    OR(B44="الأصول غير المالية"), "الأصول غير المالية",
    OR(B44="الإعانات"), "الإعانات",
    OR(B44="السلع والخدمات"), "السلع والخدمات",
    OR(B44="المنافع الاجتماعية"), "المنافع الاجتماعية",
    OR(B44="المنح"), "المنح",
    OR(B44="تعويضات العاملين"), "تعويضات العاملين",
    OR(B44="مصاريف أخرى"), "مصاريف أخرى",
    OR(B44="نفقات تمويل"), "نفقات تمويل",
    "Other"
)</f>
        <v>Other</v>
      </c>
    </row>
    <row r="45" spans="1:7" x14ac:dyDescent="0.35">
      <c r="A45" t="s">
        <v>6</v>
      </c>
      <c r="B45" t="s">
        <v>17</v>
      </c>
      <c r="C45" t="s">
        <v>8</v>
      </c>
      <c r="D45">
        <v>2022</v>
      </c>
      <c r="E45" t="s">
        <v>9</v>
      </c>
      <c r="F45">
        <v>40867433700</v>
      </c>
      <c r="G45" t="str" cm="1">
        <f t="array" ref="G45">_xlfn.SWITCH(TRUE(),
    OR(B45="الأصول غير المالية"), "الأصول غير المالية",
    OR(B45="الإعانات"), "الإعانات",
    OR(B45="السلع والخدمات"), "السلع والخدمات",
    OR(B45="المنافع الاجتماعية"), "المنافع الاجتماعية",
    OR(B45="المنح"), "المنح",
    OR(B45="تعويضات العاملين"), "تعويضات العاملين",
    OR(B45="مصاريف أخرى"), "مصاريف أخرى",
    OR(B45="نفقات تمويل"), "نفقات تمويل",
    "Other"
)</f>
        <v>Other</v>
      </c>
    </row>
    <row r="46" spans="1:7" x14ac:dyDescent="0.35">
      <c r="A46" t="s">
        <v>6</v>
      </c>
      <c r="B46" t="s">
        <v>10</v>
      </c>
      <c r="C46" t="s">
        <v>8</v>
      </c>
      <c r="D46">
        <v>2022</v>
      </c>
      <c r="E46" t="s">
        <v>9</v>
      </c>
      <c r="F46">
        <v>76519419080</v>
      </c>
      <c r="G46" t="str" cm="1">
        <f t="array" ref="G46">_xlfn.SWITCH(TRUE(),
    OR(B46="الأصول غير المالية"), "الأصول غير المالية",
    OR(B46="الإعانات"), "الإعانات",
    OR(B46="السلع والخدمات"), "السلع والخدمات",
    OR(B46="المنافع الاجتماعية"), "المنافع الاجتماعية",
    OR(B46="المنح"), "المنح",
    OR(B46="تعويضات العاملين"), "تعويضات العاملين",
    OR(B46="مصاريف أخرى"), "مصاريف أخرى",
    OR(B46="نفقات تمويل"), "نفقات تمويل",
    "Other"
)</f>
        <v>Other</v>
      </c>
    </row>
    <row r="47" spans="1:7" x14ac:dyDescent="0.35">
      <c r="A47" t="s">
        <v>6</v>
      </c>
      <c r="B47" t="s">
        <v>11</v>
      </c>
      <c r="C47" t="s">
        <v>8</v>
      </c>
      <c r="D47">
        <v>2023</v>
      </c>
      <c r="E47" t="s">
        <v>9</v>
      </c>
      <c r="F47">
        <v>254476910900</v>
      </c>
      <c r="G47" t="str" cm="1">
        <f t="array" ref="G47">_xlfn.SWITCH(TRUE(),
    OR(B47="الأصول غير المالية"), "الأصول غير المالية",
    OR(B47="الإعانات"), "الإعانات",
    OR(B47="السلع والخدمات"), "السلع والخدمات",
    OR(B47="المنافع الاجتماعية"), "المنافع الاجتماعية",
    OR(B47="المنح"), "المنح",
    OR(B47="تعويضات العاملين"), "تعويضات العاملين",
    OR(B47="مصاريف أخرى"), "مصاريف أخرى",
    OR(B47="نفقات تمويل"), "نفقات تمويل",
    "Other"
)</f>
        <v>Other</v>
      </c>
    </row>
    <row r="48" spans="1:7" x14ac:dyDescent="0.35">
      <c r="A48" t="s">
        <v>6</v>
      </c>
      <c r="B48" t="s">
        <v>14</v>
      </c>
      <c r="C48" t="s">
        <v>8</v>
      </c>
      <c r="D48">
        <v>2023</v>
      </c>
      <c r="E48" t="s">
        <v>9</v>
      </c>
      <c r="F48">
        <v>40460070930</v>
      </c>
      <c r="G48" t="str" cm="1">
        <f t="array" ref="G48">_xlfn.SWITCH(TRUE(),
    OR(B48="الأصول غير المالية"), "الأصول غير المالية",
    OR(B48="الإعانات"), "الإعانات",
    OR(B48="السلع والخدمات"), "السلع والخدمات",
    OR(B48="المنافع الاجتماعية"), "المنافع الاجتماعية",
    OR(B48="المنح"), "المنح",
    OR(B48="تعويضات العاملين"), "تعويضات العاملين",
    OR(B48="مصاريف أخرى"), "مصاريف أخرى",
    OR(B48="نفقات تمويل"), "نفقات تمويل",
    "Other"
)</f>
        <v>Other</v>
      </c>
    </row>
    <row r="49" spans="1:7" x14ac:dyDescent="0.35">
      <c r="A49" t="s">
        <v>6</v>
      </c>
      <c r="B49" t="s">
        <v>10</v>
      </c>
      <c r="C49" t="s">
        <v>8</v>
      </c>
      <c r="D49">
        <v>2023</v>
      </c>
      <c r="E49" t="s">
        <v>9</v>
      </c>
      <c r="F49">
        <v>85412124060</v>
      </c>
      <c r="G49" t="str" cm="1">
        <f t="array" ref="G49">_xlfn.SWITCH(TRUE(),
    OR(B49="الأصول غير المالية"), "الأصول غير المالية",
    OR(B49="الإعانات"), "الإعانات",
    OR(B49="السلع والخدمات"), "السلع والخدمات",
    OR(B49="المنافع الاجتماعية"), "المنافع الاجتماعية",
    OR(B49="المنح"), "المنح",
    OR(B49="تعويضات العاملين"), "تعويضات العاملين",
    OR(B49="مصاريف أخرى"), "مصاريف أخرى",
    OR(B49="نفقات تمويل"), "نفقات تمويل",
    "Other"
)</f>
        <v>Other</v>
      </c>
    </row>
    <row r="50" spans="1:7" x14ac:dyDescent="0.35">
      <c r="A50" t="s">
        <v>6</v>
      </c>
      <c r="B50" t="s">
        <v>17</v>
      </c>
      <c r="C50" t="s">
        <v>8</v>
      </c>
      <c r="D50">
        <v>2023</v>
      </c>
      <c r="E50" t="s">
        <v>9</v>
      </c>
      <c r="F50">
        <v>47925513330</v>
      </c>
      <c r="G50" t="str" cm="1">
        <f t="array" ref="G50">_xlfn.SWITCH(TRUE(),
    OR(B50="الأصول غير المالية"), "الأصول غير المالية",
    OR(B50="الإعانات"), "الإعانات",
    OR(B50="السلع والخدمات"), "السلع والخدمات",
    OR(B50="المنافع الاجتماعية"), "المنافع الاجتماعية",
    OR(B50="المنح"), "المنح",
    OR(B50="تعويضات العاملين"), "تعويضات العاملين",
    OR(B50="مصاريف أخرى"), "مصاريف أخرى",
    OR(B50="نفقات تمويل"), "نفقات تمويل",
    "Other"
)</f>
        <v>Other</v>
      </c>
    </row>
    <row r="51" spans="1:7" x14ac:dyDescent="0.35">
      <c r="A51" t="s">
        <v>6</v>
      </c>
      <c r="B51" t="s">
        <v>16</v>
      </c>
      <c r="C51" t="s">
        <v>8</v>
      </c>
      <c r="D51">
        <v>2023</v>
      </c>
      <c r="E51" t="s">
        <v>9</v>
      </c>
      <c r="F51">
        <v>114384358600</v>
      </c>
      <c r="G51" t="str" cm="1">
        <f t="array" ref="G51">_xlfn.SWITCH(TRUE(),
    OR(B51="الأصول غير المالية"), "الأصول غير المالية",
    OR(B51="الإعانات"), "الإعانات",
    OR(B51="السلع والخدمات"), "السلع والخدمات",
    OR(B51="المنافع الاجتماعية"), "المنافع الاجتماعية",
    OR(B51="المنح"), "المنح",
    OR(B51="تعويضات العاملين"), "تعويضات العاملين",
    OR(B51="مصاريف أخرى"), "مصاريف أخرى",
    OR(B51="نفقات تمويل"), "نفقات تمويل",
    "Other"
)</f>
        <v>Other</v>
      </c>
    </row>
    <row r="52" spans="1:7" x14ac:dyDescent="0.35">
      <c r="A52" t="s">
        <v>6</v>
      </c>
      <c r="B52" t="s">
        <v>12</v>
      </c>
      <c r="C52" t="s">
        <v>8</v>
      </c>
      <c r="D52">
        <v>2023</v>
      </c>
      <c r="E52" t="s">
        <v>9</v>
      </c>
      <c r="F52">
        <v>255902810900</v>
      </c>
      <c r="G52" t="str" cm="1">
        <f t="array" ref="G52">_xlfn.SWITCH(TRUE(),
    OR(B52="الأصول غير المالية"), "الأصول غير المالية",
    OR(B52="الإعانات"), "الإعانات",
    OR(B52="السلع والخدمات"), "السلع والخدمات",
    OR(B52="المنافع الاجتماعية"), "المنافع الاجتماعية",
    OR(B52="المنح"), "المنح",
    OR(B52="تعويضات العاملين"), "تعويضات العاملين",
    OR(B52="مصاريف أخرى"), "مصاريف أخرى",
    OR(B52="نفقات تمويل"), "نفقات تمويل",
    "Other"
)</f>
        <v>Other</v>
      </c>
    </row>
    <row r="53" spans="1:7" x14ac:dyDescent="0.35">
      <c r="A53" t="s">
        <v>6</v>
      </c>
      <c r="B53" t="s">
        <v>15</v>
      </c>
      <c r="C53" t="s">
        <v>8</v>
      </c>
      <c r="D53">
        <v>2023</v>
      </c>
      <c r="E53" t="s">
        <v>9</v>
      </c>
      <c r="F53">
        <v>207750110200</v>
      </c>
      <c r="G53" t="str" cm="1">
        <f t="array" ref="G53">_xlfn.SWITCH(TRUE(),
    OR(B53="الأصول غير المالية"), "الأصول غير المالية",
    OR(B53="الإعانات"), "الإعانات",
    OR(B53="السلع والخدمات"), "السلع والخدمات",
    OR(B53="المنافع الاجتماعية"), "المنافع الاجتماعية",
    OR(B53="المنح"), "المنح",
    OR(B53="تعويضات العاملين"), "تعويضات العاملين",
    OR(B53="مصاريف أخرى"), "مصاريف أخرى",
    OR(B53="نفقات تمويل"), "نفقات تمويل",
    "Other"
)</f>
        <v>Other</v>
      </c>
    </row>
    <row r="54" spans="1:7" x14ac:dyDescent="0.35">
      <c r="A54" t="s">
        <v>6</v>
      </c>
      <c r="B54" t="s">
        <v>7</v>
      </c>
      <c r="C54" t="s">
        <v>8</v>
      </c>
      <c r="D54">
        <v>2023</v>
      </c>
      <c r="E54" t="s">
        <v>9</v>
      </c>
      <c r="F54">
        <v>76992396060</v>
      </c>
      <c r="G54" t="str" cm="1">
        <f t="array" ref="G54">_xlfn.SWITCH(TRUE(),
    OR(B54="الأصول غير المالية"), "الأصول غير المالية",
    OR(B54="الإعانات"), "الإعانات",
    OR(B54="السلع والخدمات"), "السلع والخدمات",
    OR(B54="المنافع الاجتماعية"), "المنافع الاجتماعية",
    OR(B54="المنح"), "المنح",
    OR(B54="تعويضات العاملين"), "تعويضات العاملين",
    OR(B54="مصاريف أخرى"), "مصاريف أخرى",
    OR(B54="نفقات تمويل"), "نفقات تمويل",
    "Other"
)</f>
        <v>Other</v>
      </c>
    </row>
    <row r="55" spans="1:7" x14ac:dyDescent="0.35">
      <c r="A55" t="s">
        <v>6</v>
      </c>
      <c r="B55" t="s">
        <v>13</v>
      </c>
      <c r="C55" t="s">
        <v>8</v>
      </c>
      <c r="D55">
        <v>2023</v>
      </c>
      <c r="E55" t="s">
        <v>9</v>
      </c>
      <c r="F55">
        <v>209931796800</v>
      </c>
      <c r="G55" t="str" cm="1">
        <f t="array" ref="G55">_xlfn.SWITCH(TRUE(),
    OR(B55="الأصول غير المالية"), "الأصول غير المالية",
    OR(B55="الإعانات"), "الإعانات",
    OR(B55="السلع والخدمات"), "السلع والخدمات",
    OR(B55="المنافع الاجتماعية"), "المنافع الاجتماعية",
    OR(B55="المنح"), "المنح",
    OR(B55="تعويضات العاملين"), "تعويضات العاملين",
    OR(B55="مصاريف أخرى"), "مصاريف أخرى",
    OR(B55="نفقات تمويل"), "نفقات تمويل",
    "Other"
)</f>
        <v>Other</v>
      </c>
    </row>
    <row r="56" spans="1:7" x14ac:dyDescent="0.35">
      <c r="A56" t="s">
        <v>6</v>
      </c>
      <c r="B56" t="s">
        <v>14</v>
      </c>
      <c r="C56" t="s">
        <v>8</v>
      </c>
      <c r="D56">
        <v>2024</v>
      </c>
      <c r="E56" t="s">
        <v>9</v>
      </c>
      <c r="F56">
        <v>44143000000</v>
      </c>
      <c r="G56" t="str" cm="1">
        <f t="array" ref="G56">_xlfn.SWITCH(TRUE(),
    OR(B56="الأصول غير المالية"), "الأصول غير المالية",
    OR(B56="الإعانات"), "الإعانات",
    OR(B56="السلع والخدمات"), "السلع والخدمات",
    OR(B56="المنافع الاجتماعية"), "المنافع الاجتماعية",
    OR(B56="المنح"), "المنح",
    OR(B56="تعويضات العاملين"), "تعويضات العاملين",
    OR(B56="مصاريف أخرى"), "مصاريف أخرى",
    OR(B56="نفقات تمويل"), "نفقات تمويل",
    "Other"
)</f>
        <v>Other</v>
      </c>
    </row>
    <row r="57" spans="1:7" x14ac:dyDescent="0.35">
      <c r="A57" t="s">
        <v>6</v>
      </c>
      <c r="B57" t="s">
        <v>13</v>
      </c>
      <c r="C57" t="s">
        <v>8</v>
      </c>
      <c r="D57">
        <v>2024</v>
      </c>
      <c r="E57" t="s">
        <v>9</v>
      </c>
      <c r="F57">
        <v>203665000000</v>
      </c>
      <c r="G57" t="str" cm="1">
        <f t="array" ref="G57">_xlfn.SWITCH(TRUE(),
    OR(B57="الأصول غير المالية"), "الأصول غير المالية",
    OR(B57="الإعانات"), "الإعانات",
    OR(B57="السلع والخدمات"), "السلع والخدمات",
    OR(B57="المنافع الاجتماعية"), "المنافع الاجتماعية",
    OR(B57="المنح"), "المنح",
    OR(B57="تعويضات العاملين"), "تعويضات العاملين",
    OR(B57="مصاريف أخرى"), "مصاريف أخرى",
    OR(B57="نفقات تمويل"), "نفقات تمويل",
    "Other"
)</f>
        <v>Other</v>
      </c>
    </row>
    <row r="58" spans="1:7" x14ac:dyDescent="0.35">
      <c r="A58" t="s">
        <v>6</v>
      </c>
      <c r="B58" t="s">
        <v>15</v>
      </c>
      <c r="C58" t="s">
        <v>8</v>
      </c>
      <c r="D58">
        <v>2024</v>
      </c>
      <c r="E58" t="s">
        <v>9</v>
      </c>
      <c r="F58">
        <v>227681000000</v>
      </c>
      <c r="G58" t="str" cm="1">
        <f t="array" ref="G58">_xlfn.SWITCH(TRUE(),
    OR(B58="الأصول غير المالية"), "الأصول غير المالية",
    OR(B58="الإعانات"), "الإعانات",
    OR(B58="السلع والخدمات"), "السلع والخدمات",
    OR(B58="المنافع الاجتماعية"), "المنافع الاجتماعية",
    OR(B58="المنح"), "المنح",
    OR(B58="تعويضات العاملين"), "تعويضات العاملين",
    OR(B58="مصاريف أخرى"), "مصاريف أخرى",
    OR(B58="نفقات تمويل"), "نفقات تمويل",
    "Other"
)</f>
        <v>Other</v>
      </c>
    </row>
    <row r="59" spans="1:7" x14ac:dyDescent="0.35">
      <c r="A59" t="s">
        <v>6</v>
      </c>
      <c r="B59" t="s">
        <v>7</v>
      </c>
      <c r="C59" t="s">
        <v>8</v>
      </c>
      <c r="D59">
        <v>2024</v>
      </c>
      <c r="E59" t="s">
        <v>9</v>
      </c>
      <c r="F59">
        <v>116399000000</v>
      </c>
      <c r="G59" t="str" cm="1">
        <f t="array" ref="G59">_xlfn.SWITCH(TRUE(),
    OR(B59="الأصول غير المالية"), "الأصول غير المالية",
    OR(B59="الإعانات"), "الإعانات",
    OR(B59="السلع والخدمات"), "السلع والخدمات",
    OR(B59="المنافع الاجتماعية"), "المنافع الاجتماعية",
    OR(B59="المنح"), "المنح",
    OR(B59="تعويضات العاملين"), "تعويضات العاملين",
    OR(B59="مصاريف أخرى"), "مصاريف أخرى",
    OR(B59="نفقات تمويل"), "نفقات تمويل",
    "Other"
)</f>
        <v>Other</v>
      </c>
    </row>
    <row r="60" spans="1:7" x14ac:dyDescent="0.35">
      <c r="A60" t="s">
        <v>6</v>
      </c>
      <c r="B60" t="s">
        <v>16</v>
      </c>
      <c r="C60" t="s">
        <v>8</v>
      </c>
      <c r="D60">
        <v>2024</v>
      </c>
      <c r="E60" t="s">
        <v>9</v>
      </c>
      <c r="F60">
        <v>126853000000</v>
      </c>
      <c r="G60" t="str" cm="1">
        <f t="array" ref="G60">_xlfn.SWITCH(TRUE(),
    OR(B60="الأصول غير المالية"), "الأصول غير المالية",
    OR(B60="الإعانات"), "الإعانات",
    OR(B60="السلع والخدمات"), "السلع والخدمات",
    OR(B60="المنافع الاجتماعية"), "المنافع الاجتماعية",
    OR(B60="المنح"), "المنح",
    OR(B60="تعويضات العاملين"), "تعويضات العاملين",
    OR(B60="مصاريف أخرى"), "مصاريف أخرى",
    OR(B60="نفقات تمويل"), "نفقات تمويل",
    "Other"
)</f>
        <v>Other</v>
      </c>
    </row>
    <row r="61" spans="1:7" x14ac:dyDescent="0.35">
      <c r="A61" t="s">
        <v>6</v>
      </c>
      <c r="B61" t="s">
        <v>12</v>
      </c>
      <c r="C61" t="s">
        <v>8</v>
      </c>
      <c r="D61">
        <v>2024</v>
      </c>
      <c r="E61" t="s">
        <v>9</v>
      </c>
      <c r="F61">
        <v>272673999999.99997</v>
      </c>
      <c r="G61" t="str" cm="1">
        <f t="array" ref="G61">_xlfn.SWITCH(TRUE(),
    OR(B61="الأصول غير المالية"), "الأصول غير المالية",
    OR(B61="الإعانات"), "الإعانات",
    OR(B61="السلع والخدمات"), "السلع والخدمات",
    OR(B61="المنافع الاجتماعية"), "المنافع الاجتماعية",
    OR(B61="المنح"), "المنح",
    OR(B61="تعويضات العاملين"), "تعويضات العاملين",
    OR(B61="مصاريف أخرى"), "مصاريف أخرى",
    OR(B61="نفقات تمويل"), "نفقات تمويل",
    "Other"
)</f>
        <v>Other</v>
      </c>
    </row>
    <row r="62" spans="1:7" x14ac:dyDescent="0.35">
      <c r="A62" t="s">
        <v>6</v>
      </c>
      <c r="B62" t="s">
        <v>17</v>
      </c>
      <c r="C62" t="s">
        <v>8</v>
      </c>
      <c r="D62">
        <v>2024</v>
      </c>
      <c r="E62" t="s">
        <v>9</v>
      </c>
      <c r="F62">
        <v>53895000000</v>
      </c>
      <c r="G62" t="str" cm="1">
        <f t="array" ref="G62">_xlfn.SWITCH(TRUE(),
    OR(B62="الأصول غير المالية"), "الأصول غير المالية",
    OR(B62="الإعانات"), "الإعانات",
    OR(B62="السلع والخدمات"), "السلع والخدمات",
    OR(B62="المنافع الاجتماعية"), "المنافع الاجتماعية",
    OR(B62="المنح"), "المنح",
    OR(B62="تعويضات العاملين"), "تعويضات العاملين",
    OR(B62="مصاريف أخرى"), "مصاريف أخرى",
    OR(B62="نفقات تمويل"), "نفقات تمويل",
    "Other"
)</f>
        <v>Other</v>
      </c>
    </row>
    <row r="63" spans="1:7" x14ac:dyDescent="0.35">
      <c r="A63" t="s">
        <v>6</v>
      </c>
      <c r="B63" t="s">
        <v>11</v>
      </c>
      <c r="C63" t="s">
        <v>8</v>
      </c>
      <c r="D63">
        <v>2024</v>
      </c>
      <c r="E63" t="s">
        <v>9</v>
      </c>
      <c r="F63">
        <v>236664000000</v>
      </c>
      <c r="G63" t="str" cm="1">
        <f t="array" ref="G63">_xlfn.SWITCH(TRUE(),
    OR(B63="الأصول غير المالية"), "الأصول غير المالية",
    OR(B63="الإعانات"), "الإعانات",
    OR(B63="السلع والخدمات"), "السلع والخدمات",
    OR(B63="المنافع الاجتماعية"), "المنافع الاجتماعية",
    OR(B63="المنح"), "المنح",
    OR(B63="تعويضات العاملين"), "تعويضات العاملين",
    OR(B63="مصاريف أخرى"), "مصاريف أخرى",
    OR(B63="نفقات تمويل"), "نفقات تمويل",
    "Other"
)</f>
        <v>Other</v>
      </c>
    </row>
    <row r="64" spans="1:7" x14ac:dyDescent="0.35">
      <c r="A64" t="s">
        <v>6</v>
      </c>
      <c r="B64" t="s">
        <v>10</v>
      </c>
      <c r="C64" t="s">
        <v>8</v>
      </c>
      <c r="D64">
        <v>2024</v>
      </c>
      <c r="E64" t="s">
        <v>9</v>
      </c>
      <c r="F64">
        <v>92744000000</v>
      </c>
      <c r="G64" t="str" cm="1">
        <f t="array" ref="G64">_xlfn.SWITCH(TRUE(),
    OR(B64="الأصول غير المالية"), "الأصول غير المالية",
    OR(B64="الإعانات"), "الإعانات",
    OR(B64="السلع والخدمات"), "السلع والخدمات",
    OR(B64="المنافع الاجتماعية"), "المنافع الاجتماعية",
    OR(B64="المنح"), "المنح",
    OR(B64="تعويضات العاملين"), "تعويضات العاملين",
    OR(B64="مصاريف أخرى"), "مصاريف أخرى",
    OR(B64="نفقات تمويل"), "نفقات تمويل",
    "Other"
)</f>
        <v>Other</v>
      </c>
    </row>
    <row r="65" spans="1:7" x14ac:dyDescent="0.35">
      <c r="A65" t="s">
        <v>6</v>
      </c>
      <c r="B65" t="s">
        <v>10</v>
      </c>
      <c r="C65" t="s">
        <v>18</v>
      </c>
      <c r="D65">
        <v>2025</v>
      </c>
      <c r="E65" t="s">
        <v>9</v>
      </c>
      <c r="F65">
        <v>86832637270</v>
      </c>
      <c r="G65" t="str" cm="1">
        <f t="array" ref="G65">_xlfn.SWITCH(TRUE(),
    OR(B65="الأصول غير المالية"), "الأصول غير المالية",
    OR(B65="الإعانات"), "الإعانات",
    OR(B65="السلع والخدمات"), "السلع والخدمات",
    OR(B65="المنافع الاجتماعية"), "المنافع الاجتماعية",
    OR(B65="المنح"), "المنح",
    OR(B65="تعويضات العاملين"), "تعويضات العاملين",
    OR(B65="مصاريف أخرى"), "مصاريف أخرى",
    OR(B65="نفقات تمويل"), "نفقات تمويل",
    "Other"
)</f>
        <v>Other</v>
      </c>
    </row>
    <row r="66" spans="1:7" x14ac:dyDescent="0.35">
      <c r="A66" t="s">
        <v>6</v>
      </c>
      <c r="B66" t="s">
        <v>11</v>
      </c>
      <c r="C66" t="s">
        <v>18</v>
      </c>
      <c r="D66">
        <v>2025</v>
      </c>
      <c r="E66" t="s">
        <v>9</v>
      </c>
      <c r="F66">
        <v>272347225900</v>
      </c>
      <c r="G66" t="str" cm="1">
        <f t="array" ref="G66">_xlfn.SWITCH(TRUE(),
    OR(B66="الأصول غير المالية"), "الأصول غير المالية",
    OR(B66="الإعانات"), "الإعانات",
    OR(B66="السلع والخدمات"), "السلع والخدمات",
    OR(B66="المنافع الاجتماعية"), "المنافع الاجتماعية",
    OR(B66="المنح"), "المنح",
    OR(B66="تعويضات العاملين"), "تعويضات العاملين",
    OR(B66="مصاريف أخرى"), "مصاريف أخرى",
    OR(B66="نفقات تمويل"), "نفقات تمويل",
    "Other"
)</f>
        <v>Other</v>
      </c>
    </row>
    <row r="67" spans="1:7" x14ac:dyDescent="0.35">
      <c r="A67" t="s">
        <v>6</v>
      </c>
      <c r="B67" t="s">
        <v>12</v>
      </c>
      <c r="C67" t="s">
        <v>18</v>
      </c>
      <c r="D67">
        <v>2025</v>
      </c>
      <c r="E67" t="s">
        <v>9</v>
      </c>
      <c r="F67">
        <v>259846483900</v>
      </c>
      <c r="G67" t="str" cm="1">
        <f t="array" ref="G67">_xlfn.SWITCH(TRUE(),
    OR(B67="الأصول غير المالية"), "الأصول غير المالية",
    OR(B67="الإعانات"), "الإعانات",
    OR(B67="السلع والخدمات"), "السلع والخدمات",
    OR(B67="المنافع الاجتماعية"), "المنافع الاجتماعية",
    OR(B67="المنح"), "المنح",
    OR(B67="تعويضات العاملين"), "تعويضات العاملين",
    OR(B67="مصاريف أخرى"), "مصاريف أخرى",
    OR(B67="نفقات تمويل"), "نفقات تمويل",
    "Other"
)</f>
        <v>Other</v>
      </c>
    </row>
    <row r="68" spans="1:7" x14ac:dyDescent="0.35">
      <c r="A68" t="s">
        <v>6</v>
      </c>
      <c r="B68" t="s">
        <v>7</v>
      </c>
      <c r="C68" t="s">
        <v>18</v>
      </c>
      <c r="D68">
        <v>2025</v>
      </c>
      <c r="E68" t="s">
        <v>9</v>
      </c>
      <c r="F68">
        <v>64845852290</v>
      </c>
      <c r="G68" t="str" cm="1">
        <f t="array" ref="G68">_xlfn.SWITCH(TRUE(),
    OR(B68="الأصول غير المالية"), "الأصول غير المالية",
    OR(B68="الإعانات"), "الإعانات",
    OR(B68="السلع والخدمات"), "السلع والخدمات",
    OR(B68="المنافع الاجتماعية"), "المنافع الاجتماعية",
    OR(B68="المنح"), "المنح",
    OR(B68="تعويضات العاملين"), "تعويضات العاملين",
    OR(B68="مصاريف أخرى"), "مصاريف أخرى",
    OR(B68="نفقات تمويل"), "نفقات تمويل",
    "Other"
)</f>
        <v>Other</v>
      </c>
    </row>
    <row r="69" spans="1:7" x14ac:dyDescent="0.35">
      <c r="A69" t="s">
        <v>6</v>
      </c>
      <c r="B69" t="s">
        <v>13</v>
      </c>
      <c r="C69" t="s">
        <v>18</v>
      </c>
      <c r="D69">
        <v>2025</v>
      </c>
      <c r="E69" t="s">
        <v>9</v>
      </c>
      <c r="F69">
        <v>201124941700</v>
      </c>
      <c r="G69" t="str" cm="1">
        <f t="array" ref="G69">_xlfn.SWITCH(TRUE(),
    OR(B69="الأصول غير المالية"), "الأصول غير المالية",
    OR(B69="الإعانات"), "الإعانات",
    OR(B69="السلع والخدمات"), "السلع والخدمات",
    OR(B69="المنافع الاجتماعية"), "المنافع الاجتماعية",
    OR(B69="المنح"), "المنح",
    OR(B69="تعويضات العاملين"), "تعويضات العاملين",
    OR(B69="مصاريف أخرى"), "مصاريف أخرى",
    OR(B69="نفقات تمويل"), "نفقات تمويل",
    "Other"
)</f>
        <v>Other</v>
      </c>
    </row>
    <row r="70" spans="1:7" x14ac:dyDescent="0.35">
      <c r="A70" t="s">
        <v>6</v>
      </c>
      <c r="B70" t="s">
        <v>17</v>
      </c>
      <c r="C70" t="s">
        <v>18</v>
      </c>
      <c r="D70">
        <v>2025</v>
      </c>
      <c r="E70" t="s">
        <v>9</v>
      </c>
      <c r="F70">
        <v>44358142850</v>
      </c>
      <c r="G70" t="str" cm="1">
        <f t="array" ref="G70">_xlfn.SWITCH(TRUE(),
    OR(B70="الأصول غير المالية"), "الأصول غير المالية",
    OR(B70="الإعانات"), "الإعانات",
    OR(B70="السلع والخدمات"), "السلع والخدمات",
    OR(B70="المنافع الاجتماعية"), "المنافع الاجتماعية",
    OR(B70="المنح"), "المنح",
    OR(B70="تعويضات العاملين"), "تعويضات العاملين",
    OR(B70="مصاريف أخرى"), "مصاريف أخرى",
    OR(B70="نفقات تمويل"), "نفقات تمويل",
    "Other"
)</f>
        <v>Other</v>
      </c>
    </row>
    <row r="71" spans="1:7" x14ac:dyDescent="0.35">
      <c r="A71" t="s">
        <v>6</v>
      </c>
      <c r="B71" t="s">
        <v>16</v>
      </c>
      <c r="C71" t="s">
        <v>18</v>
      </c>
      <c r="D71">
        <v>2025</v>
      </c>
      <c r="E71" t="s">
        <v>9</v>
      </c>
      <c r="F71">
        <v>121251331500</v>
      </c>
      <c r="G71" t="str" cm="1">
        <f t="array" ref="G71">_xlfn.SWITCH(TRUE(),
    OR(B71="الأصول غير المالية"), "الأصول غير المالية",
    OR(B71="الإعانات"), "الإعانات",
    OR(B71="السلع والخدمات"), "السلع والخدمات",
    OR(B71="المنافع الاجتماعية"), "المنافع الاجتماعية",
    OR(B71="المنح"), "المنح",
    OR(B71="تعويضات العاملين"), "تعويضات العاملين",
    OR(B71="مصاريف أخرى"), "مصاريف أخرى",
    OR(B71="نفقات تمويل"), "نفقات تمويل",
    "Other"
)</f>
        <v>Other</v>
      </c>
    </row>
    <row r="72" spans="1:7" x14ac:dyDescent="0.35">
      <c r="A72" t="s">
        <v>6</v>
      </c>
      <c r="B72" t="s">
        <v>15</v>
      </c>
      <c r="C72" t="s">
        <v>18</v>
      </c>
      <c r="D72">
        <v>2025</v>
      </c>
      <c r="E72" t="s">
        <v>9</v>
      </c>
      <c r="F72">
        <v>192464265600</v>
      </c>
      <c r="G72" t="str" cm="1">
        <f t="array" ref="G72">_xlfn.SWITCH(TRUE(),
    OR(B72="الأصول غير المالية"), "الأصول غير المالية",
    OR(B72="الإعانات"), "الإعانات",
    OR(B72="السلع والخدمات"), "السلع والخدمات",
    OR(B72="المنافع الاجتماعية"), "المنافع الاجتماعية",
    OR(B72="المنح"), "المنح",
    OR(B72="تعويضات العاملين"), "تعويضات العاملين",
    OR(B72="مصاريف أخرى"), "مصاريف أخرى",
    OR(B72="نفقات تمويل"), "نفقات تمويل",
    "Other"
)</f>
        <v>Other</v>
      </c>
    </row>
    <row r="73" spans="1:7" x14ac:dyDescent="0.35">
      <c r="A73" t="s">
        <v>6</v>
      </c>
      <c r="B73" t="s">
        <v>14</v>
      </c>
      <c r="C73" t="s">
        <v>18</v>
      </c>
      <c r="D73">
        <v>2025</v>
      </c>
      <c r="E73" t="s">
        <v>9</v>
      </c>
      <c r="F73">
        <v>41929118860</v>
      </c>
      <c r="G73" t="str" cm="1">
        <f t="array" ref="G73">_xlfn.SWITCH(TRUE(),
    OR(B73="الأصول غير المالية"), "الأصول غير المالية",
    OR(B73="الإعانات"), "الإعانات",
    OR(B73="السلع والخدمات"), "السلع والخدمات",
    OR(B73="المنافع الاجتماعية"), "المنافع الاجتماعية",
    OR(B73="المنح"), "المنح",
    OR(B73="تعويضات العاملين"), "تعويضات العاملين",
    OR(B73="مصاريف أخرى"), "مصاريف أخرى",
    OR(B73="نفقات تمويل"), "نفقات تمويل",
    "Other"
)</f>
        <v>Other</v>
      </c>
    </row>
    <row r="74" spans="1:7" x14ac:dyDescent="0.35">
      <c r="A74" t="s">
        <v>19</v>
      </c>
      <c r="B74" t="s">
        <v>20</v>
      </c>
      <c r="C74" t="s">
        <v>8</v>
      </c>
      <c r="D74">
        <v>2018</v>
      </c>
      <c r="E74" t="s">
        <v>9</v>
      </c>
      <c r="F74">
        <v>483542000000</v>
      </c>
      <c r="G74" t="str" cm="1">
        <f t="array" ref="G74">_xlfn.SWITCH(TRUE(),
    OR(B74="الأصول غير المالية"), "الأصول غير المالية",
    OR(B74="الإعانات"), "الإعانات",
    OR(B74="السلع والخدمات"), "السلع والخدمات",
    OR(B74="المنافع الاجتماعية"), "المنافع الاجتماعية",
    OR(B74="المنح"), "المنح",
    OR(B74="تعويضات العاملين"), "تعويضات العاملين",
    OR(B74="مصاريف أخرى"), "مصاريف أخرى",
    OR(B74="نفقات تمويل"), "نفقات تمويل",
    "Other"
)</f>
        <v>تعويضات العاملين</v>
      </c>
    </row>
    <row r="75" spans="1:7" x14ac:dyDescent="0.35">
      <c r="A75" t="s">
        <v>21</v>
      </c>
      <c r="B75" t="s">
        <v>22</v>
      </c>
      <c r="C75" t="s">
        <v>8</v>
      </c>
      <c r="D75">
        <v>2018</v>
      </c>
      <c r="E75" t="s">
        <v>9</v>
      </c>
      <c r="F75">
        <v>71250000000</v>
      </c>
      <c r="G75" t="str" cm="1">
        <f t="array" ref="G75">_xlfn.SWITCH(TRUE(),
    OR(B75="الأصول غير المالية"), "الأصول غير المالية",
    OR(B75="الإعانات"), "الإعانات",
    OR(B75="السلع والخدمات"), "السلع والخدمات",
    OR(B75="المنافع الاجتماعية"), "المنافع الاجتماعية",
    OR(B75="المنح"), "المنح",
    OR(B75="تعويضات العاملين"), "تعويضات العاملين",
    OR(B75="مصاريف أخرى"), "مصاريف أخرى",
    OR(B75="نفقات تمويل"), "نفقات تمويل",
    "Other"
)</f>
        <v>Other</v>
      </c>
    </row>
    <row r="76" spans="1:7" x14ac:dyDescent="0.35">
      <c r="A76" t="s">
        <v>21</v>
      </c>
      <c r="B76" t="s">
        <v>23</v>
      </c>
      <c r="C76" t="s">
        <v>8</v>
      </c>
      <c r="D76">
        <v>2018</v>
      </c>
      <c r="E76" t="s">
        <v>9</v>
      </c>
      <c r="F76">
        <v>48750000000</v>
      </c>
      <c r="G76" t="str" cm="1">
        <f t="array" ref="G76">_xlfn.SWITCH(TRUE(),
    OR(B76="الأصول غير المالية"), "الأصول غير المالية",
    OR(B76="الإعانات"), "الإعانات",
    OR(B76="السلع والخدمات"), "السلع والخدمات",
    OR(B76="المنافع الاجتماعية"), "المنافع الاجتماعية",
    OR(B76="المنح"), "المنح",
    OR(B76="تعويضات العاملين"), "تعويضات العاملين",
    OR(B76="مصاريف أخرى"), "مصاريف أخرى",
    OR(B76="نفقات تمويل"), "نفقات تمويل",
    "Other"
)</f>
        <v>Other</v>
      </c>
    </row>
    <row r="77" spans="1:7" x14ac:dyDescent="0.35">
      <c r="A77" t="s">
        <v>24</v>
      </c>
      <c r="B77" t="s">
        <v>25</v>
      </c>
      <c r="C77" t="s">
        <v>8</v>
      </c>
      <c r="D77">
        <v>2018</v>
      </c>
      <c r="E77" t="s">
        <v>9</v>
      </c>
      <c r="F77">
        <v>490000000000</v>
      </c>
      <c r="G77" t="str" cm="1">
        <f t="array" ref="G77">_xlfn.SWITCH(TRUE(),
    OR(B77="الأصول غير المالية"), "الأصول غير المالية",
    OR(B77="الإعانات"), "الإعانات",
    OR(B77="السلع والخدمات"), "السلع والخدمات",
    OR(B77="المنافع الاجتماعية"), "المنافع الاجتماعية",
    OR(B77="المنح"), "المنح",
    OR(B77="تعويضات العاملين"), "تعويضات العاملين",
    OR(B77="مصاريف أخرى"), "مصاريف أخرى",
    OR(B77="نفقات تمويل"), "نفقات تمويل",
    "Other"
)</f>
        <v>Other</v>
      </c>
    </row>
    <row r="78" spans="1:7" x14ac:dyDescent="0.35">
      <c r="A78" t="s">
        <v>26</v>
      </c>
      <c r="B78" t="s">
        <v>27</v>
      </c>
      <c r="C78" t="s">
        <v>8</v>
      </c>
      <c r="D78">
        <v>2018</v>
      </c>
      <c r="E78" t="s">
        <v>9</v>
      </c>
      <c r="F78">
        <v>560000000000</v>
      </c>
      <c r="G78" t="str" cm="1">
        <f t="array" ref="G78">_xlfn.SWITCH(TRUE(),
    OR(B78="الأصول غير المالية"), "الأصول غير المالية",
    OR(B78="الإعانات"), "الإعانات",
    OR(B78="السلع والخدمات"), "السلع والخدمات",
    OR(B78="المنافع الاجتماعية"), "المنافع الاجتماعية",
    OR(B78="المنح"), "المنح",
    OR(B78="تعويضات العاملين"), "تعويضات العاملين",
    OR(B78="مصاريف أخرى"), "مصاريف أخرى",
    OR(B78="نفقات تمويل"), "نفقات تمويل",
    "Other"
)</f>
        <v>Other</v>
      </c>
    </row>
    <row r="79" spans="1:7" x14ac:dyDescent="0.35">
      <c r="A79" t="s">
        <v>28</v>
      </c>
      <c r="B79" t="s">
        <v>29</v>
      </c>
      <c r="C79" t="s">
        <v>8</v>
      </c>
      <c r="D79">
        <v>2018</v>
      </c>
      <c r="E79" t="s">
        <v>9</v>
      </c>
      <c r="F79">
        <v>-173858000000</v>
      </c>
      <c r="G79" t="str" cm="1">
        <f t="array" ref="G79">_xlfn.SWITCH(TRUE(),
    OR(B79="الأصول غير المالية"), "الأصول غير المالية",
    OR(B79="الإعانات"), "الإعانات",
    OR(B79="السلع والخدمات"), "السلع والخدمات",
    OR(B79="المنافع الاجتماعية"), "المنافع الاجتماعية",
    OR(B79="المنح"), "المنح",
    OR(B79="تعويضات العاملين"), "تعويضات العاملين",
    OR(B79="مصاريف أخرى"), "مصاريف أخرى",
    OR(B79="نفقات تمويل"), "نفقات تمويل",
    "Other"
)</f>
        <v>Other</v>
      </c>
    </row>
    <row r="80" spans="1:7" x14ac:dyDescent="0.35">
      <c r="A80" t="s">
        <v>30</v>
      </c>
      <c r="B80" t="s">
        <v>30</v>
      </c>
      <c r="C80" t="s">
        <v>8</v>
      </c>
      <c r="D80">
        <v>2018</v>
      </c>
      <c r="E80" t="s">
        <v>9</v>
      </c>
      <c r="F80">
        <v>737410400000</v>
      </c>
      <c r="G80" t="str" cm="1">
        <f t="array" ref="G80">_xlfn.SWITCH(TRUE(),
    OR(B80="الأصول غير المالية"), "الأصول غير المالية",
    OR(B80="الإعانات"), "الإعانات",
    OR(B80="السلع والخدمات"), "السلع والخدمات",
    OR(B80="المنافع الاجتماعية"), "المنافع الاجتماعية",
    OR(B80="المنح"), "المنح",
    OR(B80="تعويضات العاملين"), "تعويضات العاملين",
    OR(B80="مصاريف أخرى"), "مصاريف أخرى",
    OR(B80="نفقات تمويل"), "نفقات تمويل",
    "Other"
)</f>
        <v>Other</v>
      </c>
    </row>
    <row r="81" spans="1:7" x14ac:dyDescent="0.35">
      <c r="A81" t="s">
        <v>31</v>
      </c>
      <c r="B81" t="s">
        <v>32</v>
      </c>
      <c r="C81" t="s">
        <v>8</v>
      </c>
      <c r="D81">
        <v>2018</v>
      </c>
      <c r="E81" t="s">
        <v>9</v>
      </c>
      <c r="F81">
        <v>3324619000000</v>
      </c>
      <c r="G81" t="str" cm="1">
        <f t="array" ref="G81">_xlfn.SWITCH(TRUE(),
    OR(B81="الأصول غير المالية"), "الأصول غير المالية",
    OR(B81="الإعانات"), "الإعانات",
    OR(B81="السلع والخدمات"), "السلع والخدمات",
    OR(B81="المنافع الاجتماعية"), "المنافع الاجتماعية",
    OR(B81="المنح"), "المنح",
    OR(B81="تعويضات العاملين"), "تعويضات العاملين",
    OR(B81="مصاريف أخرى"), "مصاريف أخرى",
    OR(B81="نفقات تمويل"), "نفقات تمويل",
    "Other"
)</f>
        <v>Other</v>
      </c>
    </row>
    <row r="82" spans="1:7" x14ac:dyDescent="0.35">
      <c r="A82" t="s">
        <v>33</v>
      </c>
      <c r="B82" t="s">
        <v>34</v>
      </c>
      <c r="C82" t="s">
        <v>8</v>
      </c>
      <c r="D82">
        <v>2018</v>
      </c>
      <c r="E82" t="s">
        <v>9</v>
      </c>
      <c r="F82">
        <v>20538000000</v>
      </c>
      <c r="G82" t="str" cm="1">
        <f t="array" ref="G82">_xlfn.SWITCH(TRUE(),
    OR(B82="الأصول غير المالية"), "الأصول غير المالية",
    OR(B82="الإعانات"), "الإعانات",
    OR(B82="السلع والخدمات"), "السلع والخدمات",
    OR(B82="المنافع الاجتماعية"), "المنافع الاجتماعية",
    OR(B82="المنح"), "المنح",
    OR(B82="تعويضات العاملين"), "تعويضات العاملين",
    OR(B82="مصاريف أخرى"), "مصاريف أخرى",
    OR(B82="نفقات تمويل"), "نفقات تمويل",
    "Other"
)</f>
        <v>Other</v>
      </c>
    </row>
    <row r="83" spans="1:7" x14ac:dyDescent="0.35">
      <c r="A83" t="s">
        <v>33</v>
      </c>
      <c r="B83" t="s">
        <v>35</v>
      </c>
      <c r="C83" t="s">
        <v>8</v>
      </c>
      <c r="D83">
        <v>2018</v>
      </c>
      <c r="E83" t="s">
        <v>9</v>
      </c>
      <c r="F83">
        <v>16149999999.999998</v>
      </c>
      <c r="G83" t="str" cm="1">
        <f t="array" ref="G83">_xlfn.SWITCH(TRUE(),
    OR(B83="الأصول غير المالية"), "الأصول غير المالية",
    OR(B83="الإعانات"), "الإعانات",
    OR(B83="السلع والخدمات"), "السلع والخدمات",
    OR(B83="المنافع الاجتماعية"), "المنافع الاجتماعية",
    OR(B83="المنح"), "المنح",
    OR(B83="تعويضات العاملين"), "تعويضات العاملين",
    OR(B83="مصاريف أخرى"), "مصاريف أخرى",
    OR(B83="نفقات تمويل"), "نفقات تمويل",
    "Other"
)</f>
        <v>Other</v>
      </c>
    </row>
    <row r="84" spans="1:7" x14ac:dyDescent="0.35">
      <c r="A84" t="s">
        <v>33</v>
      </c>
      <c r="B84" t="s">
        <v>36</v>
      </c>
      <c r="C84" t="s">
        <v>8</v>
      </c>
      <c r="D84">
        <v>2018</v>
      </c>
      <c r="E84" t="s">
        <v>9</v>
      </c>
      <c r="F84">
        <v>16523000000</v>
      </c>
      <c r="G84" t="str" cm="1">
        <f t="array" ref="G84">_xlfn.SWITCH(TRUE(),
    OR(B84="الأصول غير المالية"), "الأصول غير المالية",
    OR(B84="الإعانات"), "الإعانات",
    OR(B84="السلع والخدمات"), "السلع والخدمات",
    OR(B84="المنافع الاجتماعية"), "المنافع الاجتماعية",
    OR(B84="المنح"), "المنح",
    OR(B84="تعويضات العاملين"), "تعويضات العاملين",
    OR(B84="مصاريف أخرى"), "مصاريف أخرى",
    OR(B84="نفقات تمويل"), "نفقات تمويل",
    "Other"
)</f>
        <v>Other</v>
      </c>
    </row>
    <row r="85" spans="1:7" x14ac:dyDescent="0.35">
      <c r="A85" t="s">
        <v>33</v>
      </c>
      <c r="B85" t="s">
        <v>37</v>
      </c>
      <c r="C85" t="s">
        <v>8</v>
      </c>
      <c r="D85">
        <v>2018</v>
      </c>
      <c r="E85" t="s">
        <v>9</v>
      </c>
      <c r="F85">
        <v>114988000000</v>
      </c>
      <c r="G85" t="str" cm="1">
        <f t="array" ref="G85">_xlfn.SWITCH(TRUE(),
    OR(B85="الأصول غير المالية"), "الأصول غير المالية",
    OR(B85="الإعانات"), "الإعانات",
    OR(B85="السلع والخدمات"), "السلع والخدمات",
    OR(B85="المنافع الاجتماعية"), "المنافع الاجتماعية",
    OR(B85="المنح"), "المنح",
    OR(B85="تعويضات العاملين"), "تعويضات العاملين",
    OR(B85="مصاريف أخرى"), "مصاريف أخرى",
    OR(B85="نفقات تمويل"), "نفقات تمويل",
    "Other"
)</f>
        <v>Other</v>
      </c>
    </row>
    <row r="86" spans="1:7" x14ac:dyDescent="0.35">
      <c r="A86" t="s">
        <v>38</v>
      </c>
      <c r="B86" t="s">
        <v>39</v>
      </c>
      <c r="C86" t="s">
        <v>8</v>
      </c>
      <c r="D86">
        <v>2018</v>
      </c>
      <c r="E86" t="s">
        <v>9</v>
      </c>
      <c r="F86">
        <v>294000000000</v>
      </c>
      <c r="G86" t="str" cm="1">
        <f t="array" ref="G86">_xlfn.SWITCH(TRUE(),
    OR(B86="الأصول غير المالية"), "الأصول غير المالية",
    OR(B86="الإعانات"), "الإعانات",
    OR(B86="السلع والخدمات"), "السلع والخدمات",
    OR(B86="المنافع الاجتماعية"), "المنافع الاجتماعية",
    OR(B86="المنح"), "المنح",
    OR(B86="تعويضات العاملين"), "تعويضات العاملين",
    OR(B86="مصاريف أخرى"), "مصاريف أخرى",
    OR(B86="نفقات تمويل"), "نفقات تمويل",
    "Other"
)</f>
        <v>Other</v>
      </c>
    </row>
    <row r="87" spans="1:7" x14ac:dyDescent="0.35">
      <c r="A87" t="s">
        <v>38</v>
      </c>
      <c r="B87" t="s">
        <v>40</v>
      </c>
      <c r="C87" t="s">
        <v>8</v>
      </c>
      <c r="D87">
        <v>2018</v>
      </c>
      <c r="E87" t="s">
        <v>9</v>
      </c>
      <c r="F87">
        <v>611239000000</v>
      </c>
      <c r="G87" t="str" cm="1">
        <f t="array" ref="G87">_xlfn.SWITCH(TRUE(),
    OR(B87="الأصول غير المالية"), "الأصول غير المالية",
    OR(B87="الإعانات"), "الإعانات",
    OR(B87="السلع والخدمات"), "السلع والخدمات",
    OR(B87="المنافع الاجتماعية"), "المنافع الاجتماعية",
    OR(B87="المنح"), "المنح",
    OR(B87="تعويضات العاملين"), "تعويضات العاملين",
    OR(B87="مصاريف أخرى"), "مصاريف أخرى",
    OR(B87="نفقات تمويل"), "نفقات تمويل",
    "Other"
)</f>
        <v>Other</v>
      </c>
    </row>
    <row r="88" spans="1:7" x14ac:dyDescent="0.35">
      <c r="A88" t="s">
        <v>41</v>
      </c>
      <c r="B88" t="s">
        <v>41</v>
      </c>
      <c r="C88" t="s">
        <v>8</v>
      </c>
      <c r="D88">
        <v>2018</v>
      </c>
      <c r="E88" t="s">
        <v>9</v>
      </c>
      <c r="F88">
        <v>905598000000</v>
      </c>
      <c r="G88" t="str" cm="1">
        <f t="array" ref="G88">_xlfn.SWITCH(TRUE(),
    OR(B88="الأصول غير المالية"), "الأصول غير المالية",
    OR(B88="الإعانات"), "الإعانات",
    OR(B88="السلع والخدمات"), "السلع والخدمات",
    OR(B88="المنافع الاجتماعية"), "المنافع الاجتماعية",
    OR(B88="المنح"), "المنح",
    OR(B88="تعويضات العاملين"), "تعويضات العاملين",
    OR(B88="مصاريف أخرى"), "مصاريف أخرى",
    OR(B88="نفقات تمويل"), "نفقات تمويل",
    "Other"
)</f>
        <v>Other</v>
      </c>
    </row>
    <row r="89" spans="1:7" x14ac:dyDescent="0.35">
      <c r="A89" t="s">
        <v>42</v>
      </c>
      <c r="B89" t="s">
        <v>43</v>
      </c>
      <c r="C89" t="s">
        <v>8</v>
      </c>
      <c r="D89">
        <v>2018</v>
      </c>
      <c r="E89" t="s">
        <v>9</v>
      </c>
      <c r="F89">
        <v>188320200000</v>
      </c>
      <c r="G89" t="str" cm="1">
        <f t="array" ref="G89">_xlfn.SWITCH(TRUE(),
    OR(B89="الأصول غير المالية"), "الأصول غير المالية",
    OR(B89="الإعانات"), "الإعانات",
    OR(B89="السلع والخدمات"), "السلع والخدمات",
    OR(B89="المنافع الاجتماعية"), "المنافع الاجتماعية",
    OR(B89="المنح"), "المنح",
    OR(B89="تعويضات العاملين"), "تعويضات العاملين",
    OR(B89="مصاريف أخرى"), "مصاريف أخرى",
    OR(B89="نفقات تمويل"), "نفقات تمويل",
    "Other"
)</f>
        <v>الأصول غير المالية</v>
      </c>
    </row>
    <row r="90" spans="1:7" x14ac:dyDescent="0.35">
      <c r="A90" t="s">
        <v>19</v>
      </c>
      <c r="B90" t="s">
        <v>44</v>
      </c>
      <c r="C90" t="s">
        <v>8</v>
      </c>
      <c r="D90">
        <v>2018</v>
      </c>
      <c r="E90" t="s">
        <v>9</v>
      </c>
      <c r="F90">
        <v>122187900000</v>
      </c>
      <c r="G90" t="str" cm="1">
        <f t="array" ref="G90">_xlfn.SWITCH(TRUE(),
    OR(B90="الأصول غير المالية"), "الأصول غير المالية",
    OR(B90="الإعانات"), "الإعانات",
    OR(B90="السلع والخدمات"), "السلع والخدمات",
    OR(B90="المنافع الاجتماعية"), "المنافع الاجتماعية",
    OR(B90="المنح"), "المنح",
    OR(B90="تعويضات العاملين"), "تعويضات العاملين",
    OR(B90="مصاريف أخرى"), "مصاريف أخرى",
    OR(B90="نفقات تمويل"), "نفقات تمويل",
    "Other"
)</f>
        <v>Other</v>
      </c>
    </row>
    <row r="91" spans="1:7" x14ac:dyDescent="0.35">
      <c r="A91" t="s">
        <v>45</v>
      </c>
      <c r="B91" t="s">
        <v>45</v>
      </c>
      <c r="C91" t="s">
        <v>8</v>
      </c>
      <c r="D91">
        <v>2018</v>
      </c>
      <c r="E91" t="s">
        <v>9</v>
      </c>
      <c r="F91">
        <v>1079467281000</v>
      </c>
      <c r="G91" t="str" cm="1">
        <f t="array" ref="G91">_xlfn.SWITCH(TRUE(),
    OR(B91="الأصول غير المالية"), "الأصول غير المالية",
    OR(B91="الإعانات"), "الإعانات",
    OR(B91="السلع والخدمات"), "السلع والخدمات",
    OR(B91="المنافع الاجتماعية"), "المنافع الاجتماعية",
    OR(B91="المنح"), "المنح",
    OR(B91="تعويضات العاملين"), "تعويضات العاملين",
    OR(B91="مصاريف أخرى"), "مصاريف أخرى",
    OR(B91="نفقات تمويل"), "نفقات تمويل",
    "Other"
)</f>
        <v>Other</v>
      </c>
    </row>
    <row r="92" spans="1:7" x14ac:dyDescent="0.35">
      <c r="A92" t="s">
        <v>19</v>
      </c>
      <c r="B92" t="s">
        <v>46</v>
      </c>
      <c r="C92" t="s">
        <v>8</v>
      </c>
      <c r="D92">
        <v>2018</v>
      </c>
      <c r="E92" t="s">
        <v>9</v>
      </c>
      <c r="F92">
        <v>84337700000</v>
      </c>
      <c r="G92" t="str" cm="1">
        <f t="array" ref="G92">_xlfn.SWITCH(TRUE(),
    OR(B92="الأصول غير المالية"), "الأصول غير المالية",
    OR(B92="الإعانات"), "الإعانات",
    OR(B92="السلع والخدمات"), "السلع والخدمات",
    OR(B92="المنافع الاجتماعية"), "المنافع الاجتماعية",
    OR(B92="المنح"), "المنح",
    OR(B92="تعويضات العاملين"), "تعويضات العاملين",
    OR(B92="مصاريف أخرى"), "مصاريف أخرى",
    OR(B92="نفقات تمويل"), "نفقات تمويل",
    "Other"
)</f>
        <v>المنافع الاجتماعية</v>
      </c>
    </row>
    <row r="93" spans="1:7" x14ac:dyDescent="0.35">
      <c r="A93" t="s">
        <v>19</v>
      </c>
      <c r="B93" t="s">
        <v>47</v>
      </c>
      <c r="C93" t="s">
        <v>8</v>
      </c>
      <c r="D93">
        <v>2018</v>
      </c>
      <c r="E93" t="s">
        <v>9</v>
      </c>
      <c r="F93">
        <v>4284719000</v>
      </c>
      <c r="G93" t="str" cm="1">
        <f t="array" ref="G93">_xlfn.SWITCH(TRUE(),
    OR(B93="الأصول غير المالية"), "الأصول غير المالية",
    OR(B93="الإعانات"), "الإعانات",
    OR(B93="السلع والخدمات"), "السلع والخدمات",
    OR(B93="المنافع الاجتماعية"), "المنافع الاجتماعية",
    OR(B93="المنح"), "المنح",
    OR(B93="تعويضات العاملين"), "تعويضات العاملين",
    OR(B93="مصاريف أخرى"), "مصاريف أخرى",
    OR(B93="نفقات تمويل"), "نفقات تمويل",
    "Other"
)</f>
        <v>المنح</v>
      </c>
    </row>
    <row r="94" spans="1:7" x14ac:dyDescent="0.35">
      <c r="A94" t="s">
        <v>19</v>
      </c>
      <c r="B94" t="s">
        <v>48</v>
      </c>
      <c r="C94" t="s">
        <v>8</v>
      </c>
      <c r="D94">
        <v>2018</v>
      </c>
      <c r="E94" t="s">
        <v>9</v>
      </c>
      <c r="F94">
        <v>12886100000</v>
      </c>
      <c r="G94" t="str" cm="1">
        <f t="array" ref="G94">_xlfn.SWITCH(TRUE(),
    OR(B94="الأصول غير المالية"), "الأصول غير المالية",
    OR(B94="الإعانات"), "الإعانات",
    OR(B94="السلع والخدمات"), "السلع والخدمات",
    OR(B94="المنافع الاجتماعية"), "المنافع الاجتماعية",
    OR(B94="المنح"), "المنح",
    OR(B94="تعويضات العاملين"), "تعويضات العاملين",
    OR(B94="مصاريف أخرى"), "مصاريف أخرى",
    OR(B94="نفقات تمويل"), "نفقات تمويل",
    "Other"
)</f>
        <v>الإعانات</v>
      </c>
    </row>
    <row r="95" spans="1:7" x14ac:dyDescent="0.35">
      <c r="A95" t="s">
        <v>19</v>
      </c>
      <c r="B95" t="s">
        <v>49</v>
      </c>
      <c r="C95" t="s">
        <v>8</v>
      </c>
      <c r="D95">
        <v>2018</v>
      </c>
      <c r="E95" t="s">
        <v>9</v>
      </c>
      <c r="F95">
        <v>15001369000</v>
      </c>
      <c r="G95" t="str" cm="1">
        <f t="array" ref="G95">_xlfn.SWITCH(TRUE(),
    OR(B95="الأصول غير المالية"), "الأصول غير المالية",
    OR(B95="الإعانات"), "الإعانات",
    OR(B95="السلع والخدمات"), "السلع والخدمات",
    OR(B95="المنافع الاجتماعية"), "المنافع الاجتماعية",
    OR(B95="المنح"), "المنح",
    OR(B95="تعويضات العاملين"), "تعويضات العاملين",
    OR(B95="مصاريف أخرى"), "مصاريف أخرى",
    OR(B95="نفقات تمويل"), "نفقات تمويل",
    "Other"
)</f>
        <v>نفقات تمويل</v>
      </c>
    </row>
    <row r="96" spans="1:7" x14ac:dyDescent="0.35">
      <c r="A96" t="s">
        <v>19</v>
      </c>
      <c r="B96" t="s">
        <v>50</v>
      </c>
      <c r="C96" t="s">
        <v>8</v>
      </c>
      <c r="D96">
        <v>2018</v>
      </c>
      <c r="E96" t="s">
        <v>9</v>
      </c>
      <c r="F96">
        <v>168906000000</v>
      </c>
      <c r="G96" t="str" cm="1">
        <f t="array" ref="G96">_xlfn.SWITCH(TRUE(),
    OR(B96="الأصول غير المالية"), "الأصول غير المالية",
    OR(B96="الإعانات"), "الإعانات",
    OR(B96="السلع والخدمات"), "السلع والخدمات",
    OR(B96="المنافع الاجتماعية"), "المنافع الاجتماعية",
    OR(B96="المنح"), "المنح",
    OR(B96="تعويضات العاملين"), "تعويضات العاملين",
    OR(B96="مصاريف أخرى"), "مصاريف أخرى",
    OR(B96="نفقات تمويل"), "نفقات تمويل",
    "Other"
)</f>
        <v>السلع والخدمات</v>
      </c>
    </row>
    <row r="97" spans="1:7" x14ac:dyDescent="0.35">
      <c r="A97" t="s">
        <v>33</v>
      </c>
      <c r="B97" t="s">
        <v>37</v>
      </c>
      <c r="C97" t="s">
        <v>8</v>
      </c>
      <c r="D97">
        <v>2019</v>
      </c>
      <c r="E97" t="s">
        <v>9</v>
      </c>
      <c r="F97">
        <v>155414000000</v>
      </c>
      <c r="G97" t="str" cm="1">
        <f t="array" ref="G97">_xlfn.SWITCH(TRUE(),
    OR(B97="الأصول غير المالية"), "الأصول غير المالية",
    OR(B97="الإعانات"), "الإعانات",
    OR(B97="السلع والخدمات"), "السلع والخدمات",
    OR(B97="المنافع الاجتماعية"), "المنافع الاجتماعية",
    OR(B97="المنح"), "المنح",
    OR(B97="تعويضات العاملين"), "تعويضات العاملين",
    OR(B97="مصاريف أخرى"), "مصاريف أخرى",
    OR(B97="نفقات تمويل"), "نفقات تمويل",
    "Other"
)</f>
        <v>Other</v>
      </c>
    </row>
    <row r="98" spans="1:7" x14ac:dyDescent="0.35">
      <c r="A98" t="s">
        <v>42</v>
      </c>
      <c r="B98" t="s">
        <v>43</v>
      </c>
      <c r="C98" t="s">
        <v>8</v>
      </c>
      <c r="D98">
        <v>2019</v>
      </c>
      <c r="E98" t="s">
        <v>9</v>
      </c>
      <c r="F98">
        <v>169449000000</v>
      </c>
      <c r="G98" t="str" cm="1">
        <f t="array" ref="G98">_xlfn.SWITCH(TRUE(),
    OR(B98="الأصول غير المالية"), "الأصول غير المالية",
    OR(B98="الإعانات"), "الإعانات",
    OR(B98="السلع والخدمات"), "السلع والخدمات",
    OR(B98="المنافع الاجتماعية"), "المنافع الاجتماعية",
    OR(B98="المنح"), "المنح",
    OR(B98="تعويضات العاملين"), "تعويضات العاملين",
    OR(B98="مصاريف أخرى"), "مصاريف أخرى",
    OR(B98="نفقات تمويل"), "نفقات تمويل",
    "Other"
)</f>
        <v>الأصول غير المالية</v>
      </c>
    </row>
    <row r="99" spans="1:7" x14ac:dyDescent="0.35">
      <c r="A99" t="s">
        <v>28</v>
      </c>
      <c r="B99" t="s">
        <v>29</v>
      </c>
      <c r="C99" t="s">
        <v>8</v>
      </c>
      <c r="D99">
        <v>2019</v>
      </c>
      <c r="E99" t="s">
        <v>9</v>
      </c>
      <c r="F99">
        <v>-132600000000</v>
      </c>
      <c r="G99" t="str" cm="1">
        <f t="array" ref="G99">_xlfn.SWITCH(TRUE(),
    OR(B99="الأصول غير المالية"), "الأصول غير المالية",
    OR(B99="الإعانات"), "الإعانات",
    OR(B99="السلع والخدمات"), "السلع والخدمات",
    OR(B99="المنافع الاجتماعية"), "المنافع الاجتماعية",
    OR(B99="المنح"), "المنح",
    OR(B99="تعويضات العاملين"), "تعويضات العاملين",
    OR(B99="مصاريف أخرى"), "مصاريف أخرى",
    OR(B99="نفقات تمويل"), "نفقات تمويل",
    "Other"
)</f>
        <v>Other</v>
      </c>
    </row>
    <row r="100" spans="1:7" x14ac:dyDescent="0.35">
      <c r="A100" t="s">
        <v>38</v>
      </c>
      <c r="B100" t="s">
        <v>40</v>
      </c>
      <c r="C100" t="s">
        <v>8</v>
      </c>
      <c r="D100">
        <v>2019</v>
      </c>
      <c r="E100" t="s">
        <v>9</v>
      </c>
      <c r="F100">
        <v>594424000000</v>
      </c>
      <c r="G100" t="str" cm="1">
        <f t="array" ref="G100">_xlfn.SWITCH(TRUE(),
    OR(B100="الأصول غير المالية"), "الأصول غير المالية",
    OR(B100="الإعانات"), "الإعانات",
    OR(B100="السلع والخدمات"), "السلع والخدمات",
    OR(B100="المنافع الاجتماعية"), "المنافع الاجتماعية",
    OR(B100="المنح"), "المنح",
    OR(B100="تعويضات العاملين"), "تعويضات العاملين",
    OR(B100="مصاريف أخرى"), "مصاريف أخرى",
    OR(B100="نفقات تمويل"), "نفقات تمويل",
    "Other"
)</f>
        <v>Other</v>
      </c>
    </row>
    <row r="101" spans="1:7" x14ac:dyDescent="0.35">
      <c r="A101" t="s">
        <v>30</v>
      </c>
      <c r="B101" t="s">
        <v>30</v>
      </c>
      <c r="C101" t="s">
        <v>8</v>
      </c>
      <c r="D101">
        <v>2019</v>
      </c>
      <c r="E101" t="s">
        <v>9</v>
      </c>
      <c r="F101">
        <v>706746500000</v>
      </c>
      <c r="G101" t="str" cm="1">
        <f t="array" ref="G101">_xlfn.SWITCH(TRUE(),
    OR(B101="الأصول غير المالية"), "الأصول غير المالية",
    OR(B101="الإعانات"), "الإعانات",
    OR(B101="السلع والخدمات"), "السلع والخدمات",
    OR(B101="المنافع الاجتماعية"), "المنافع الاجتماعية",
    OR(B101="المنح"), "المنح",
    OR(B101="تعويضات العاملين"), "تعويضات العاملين",
    OR(B101="مصاريف أخرى"), "مصاريف أخرى",
    OR(B101="نفقات تمويل"), "نفقات تمويل",
    "Other"
)</f>
        <v>Other</v>
      </c>
    </row>
    <row r="102" spans="1:7" x14ac:dyDescent="0.35">
      <c r="A102" t="s">
        <v>26</v>
      </c>
      <c r="B102" t="s">
        <v>27</v>
      </c>
      <c r="C102" t="s">
        <v>8</v>
      </c>
      <c r="D102">
        <v>2019</v>
      </c>
      <c r="E102" t="s">
        <v>9</v>
      </c>
      <c r="F102">
        <v>678000000000</v>
      </c>
      <c r="G102" t="str" cm="1">
        <f t="array" ref="G102">_xlfn.SWITCH(TRUE(),
    OR(B102="الأصول غير المالية"), "الأصول غير المالية",
    OR(B102="الإعانات"), "الإعانات",
    OR(B102="السلع والخدمات"), "السلع والخدمات",
    OR(B102="المنافع الاجتماعية"), "المنافع الاجتماعية",
    OR(B102="المنح"), "المنح",
    OR(B102="تعويضات العاملين"), "تعويضات العاملين",
    OR(B102="مصاريف أخرى"), "مصاريف أخرى",
    OR(B102="نفقات تمويل"), "نفقات تمويل",
    "Other"
)</f>
        <v>Other</v>
      </c>
    </row>
    <row r="103" spans="1:7" x14ac:dyDescent="0.35">
      <c r="A103" t="s">
        <v>21</v>
      </c>
      <c r="B103" t="s">
        <v>22</v>
      </c>
      <c r="C103" t="s">
        <v>8</v>
      </c>
      <c r="D103">
        <v>2019</v>
      </c>
      <c r="E103" t="s">
        <v>9</v>
      </c>
      <c r="F103">
        <v>50161000000</v>
      </c>
      <c r="G103" t="str" cm="1">
        <f t="array" ref="G103">_xlfn.SWITCH(TRUE(),
    OR(B103="الأصول غير المالية"), "الأصول غير المالية",
    OR(B103="الإعانات"), "الإعانات",
    OR(B103="السلع والخدمات"), "السلع والخدمات",
    OR(B103="المنافع الاجتماعية"), "المنافع الاجتماعية",
    OR(B103="المنح"), "المنح",
    OR(B103="تعويضات العاملين"), "تعويضات العاملين",
    OR(B103="مصاريف أخرى"), "مصاريف أخرى",
    OR(B103="نفقات تمويل"), "نفقات تمويل",
    "Other"
)</f>
        <v>Other</v>
      </c>
    </row>
    <row r="104" spans="1:7" x14ac:dyDescent="0.35">
      <c r="A104" t="s">
        <v>38</v>
      </c>
      <c r="B104" t="s">
        <v>39</v>
      </c>
      <c r="C104" t="s">
        <v>8</v>
      </c>
      <c r="D104">
        <v>2019</v>
      </c>
      <c r="E104" t="s">
        <v>9</v>
      </c>
      <c r="F104">
        <v>332000000000</v>
      </c>
      <c r="G104" t="str" cm="1">
        <f t="array" ref="G104">_xlfn.SWITCH(TRUE(),
    OR(B104="الأصول غير المالية"), "الأصول غير المالية",
    OR(B104="الإعانات"), "الإعانات",
    OR(B104="السلع والخدمات"), "السلع والخدمات",
    OR(B104="المنافع الاجتماعية"), "المنافع الاجتماعية",
    OR(B104="المنح"), "المنح",
    OR(B104="تعويضات العاملين"), "تعويضات العاملين",
    OR(B104="مصاريف أخرى"), "مصاريف أخرى",
    OR(B104="نفقات تمويل"), "نفقات تمويل",
    "Other"
)</f>
        <v>Other</v>
      </c>
    </row>
    <row r="105" spans="1:7" x14ac:dyDescent="0.35">
      <c r="A105" t="s">
        <v>33</v>
      </c>
      <c r="B105" t="s">
        <v>34</v>
      </c>
      <c r="C105" t="s">
        <v>8</v>
      </c>
      <c r="D105">
        <v>2019</v>
      </c>
      <c r="E105" t="s">
        <v>9</v>
      </c>
      <c r="F105">
        <v>30104300000</v>
      </c>
      <c r="G105" t="str" cm="1">
        <f t="array" ref="G105">_xlfn.SWITCH(TRUE(),
    OR(B105="الأصول غير المالية"), "الأصول غير المالية",
    OR(B105="الإعانات"), "الإعانات",
    OR(B105="السلع والخدمات"), "السلع والخدمات",
    OR(B105="المنافع الاجتماعية"), "المنافع الاجتماعية",
    OR(B105="المنح"), "المنح",
    OR(B105="تعويضات العاملين"), "تعويضات العاملين",
    OR(B105="مصاريف أخرى"), "مصاريف أخرى",
    OR(B105="نفقات تمويل"), "نفقات تمويل",
    "Other"
)</f>
        <v>Other</v>
      </c>
    </row>
    <row r="106" spans="1:7" x14ac:dyDescent="0.35">
      <c r="A106" t="s">
        <v>24</v>
      </c>
      <c r="B106" t="s">
        <v>25</v>
      </c>
      <c r="C106" t="s">
        <v>8</v>
      </c>
      <c r="D106">
        <v>2019</v>
      </c>
      <c r="E106" t="s">
        <v>9</v>
      </c>
      <c r="F106">
        <v>470000000000</v>
      </c>
      <c r="G106" t="str" cm="1">
        <f t="array" ref="G106">_xlfn.SWITCH(TRUE(),
    OR(B106="الأصول غير المالية"), "الأصول غير المالية",
    OR(B106="الإعانات"), "الإعانات",
    OR(B106="السلع والخدمات"), "السلع والخدمات",
    OR(B106="المنافع الاجتماعية"), "المنافع الاجتماعية",
    OR(B106="المنح"), "المنح",
    OR(B106="تعويضات العاملين"), "تعويضات العاملين",
    OR(B106="مصاريف أخرى"), "مصاريف أخرى",
    OR(B106="نفقات تمويل"), "نفقات تمويل",
    "Other"
)</f>
        <v>Other</v>
      </c>
    </row>
    <row r="107" spans="1:7" x14ac:dyDescent="0.35">
      <c r="A107" t="s">
        <v>31</v>
      </c>
      <c r="B107" t="s">
        <v>32</v>
      </c>
      <c r="C107" t="s">
        <v>8</v>
      </c>
      <c r="D107">
        <v>2019</v>
      </c>
      <c r="E107" t="s">
        <v>9</v>
      </c>
      <c r="F107">
        <v>3333338000000</v>
      </c>
      <c r="G107" t="str" cm="1">
        <f t="array" ref="G107">_xlfn.SWITCH(TRUE(),
    OR(B107="الأصول غير المالية"), "الأصول غير المالية",
    OR(B107="الإعانات"), "الإعانات",
    OR(B107="السلع والخدمات"), "السلع والخدمات",
    OR(B107="المنافع الاجتماعية"), "المنافع الاجتماعية",
    OR(B107="المنح"), "المنح",
    OR(B107="تعويضات العاملين"), "تعويضات العاملين",
    OR(B107="مصاريف أخرى"), "مصاريف أخرى",
    OR(B107="نفقات تمويل"), "نفقات تمويل",
    "Other"
)</f>
        <v>Other</v>
      </c>
    </row>
    <row r="108" spans="1:7" x14ac:dyDescent="0.35">
      <c r="A108" t="s">
        <v>45</v>
      </c>
      <c r="B108" t="s">
        <v>45</v>
      </c>
      <c r="C108" t="s">
        <v>8</v>
      </c>
      <c r="D108">
        <v>2019</v>
      </c>
      <c r="E108" t="s">
        <v>9</v>
      </c>
      <c r="F108">
        <v>1059444000000</v>
      </c>
      <c r="G108" t="str" cm="1">
        <f t="array" ref="G108">_xlfn.SWITCH(TRUE(),
    OR(B108="الأصول غير المالية"), "الأصول غير المالية",
    OR(B108="الإعانات"), "الإعانات",
    OR(B108="السلع والخدمات"), "السلع والخدمات",
    OR(B108="المنافع الاجتماعية"), "المنافع الاجتماعية",
    OR(B108="المنح"), "المنح",
    OR(B108="تعويضات العاملين"), "تعويضات العاملين",
    OR(B108="مصاريف أخرى"), "مصاريف أخرى",
    OR(B108="نفقات تمويل"), "نفقات تمويل",
    "Other"
)</f>
        <v>Other</v>
      </c>
    </row>
    <row r="109" spans="1:7" x14ac:dyDescent="0.35">
      <c r="A109" t="s">
        <v>21</v>
      </c>
      <c r="B109" t="s">
        <v>23</v>
      </c>
      <c r="C109" t="s">
        <v>8</v>
      </c>
      <c r="D109">
        <v>2019</v>
      </c>
      <c r="E109" t="s">
        <v>9</v>
      </c>
      <c r="F109">
        <v>69839000000</v>
      </c>
      <c r="G109" t="str" cm="1">
        <f t="array" ref="G109">_xlfn.SWITCH(TRUE(),
    OR(B109="الأصول غير المالية"), "الأصول غير المالية",
    OR(B109="الإعانات"), "الإعانات",
    OR(B109="السلع والخدمات"), "السلع والخدمات",
    OR(B109="المنافع الاجتماعية"), "المنافع الاجتماعية",
    OR(B109="المنح"), "المنح",
    OR(B109="تعويضات العاملين"), "تعويضات العاملين",
    OR(B109="مصاريف أخرى"), "مصاريف أخرى",
    OR(B109="نفقات تمويل"), "نفقات تمويل",
    "Other"
)</f>
        <v>Other</v>
      </c>
    </row>
    <row r="110" spans="1:7" x14ac:dyDescent="0.35">
      <c r="A110" t="s">
        <v>19</v>
      </c>
      <c r="B110" t="s">
        <v>20</v>
      </c>
      <c r="C110" t="s">
        <v>8</v>
      </c>
      <c r="D110">
        <v>2019</v>
      </c>
      <c r="E110" t="s">
        <v>9</v>
      </c>
      <c r="F110">
        <v>505029500000</v>
      </c>
      <c r="G110" t="str" cm="1">
        <f t="array" ref="G110">_xlfn.SWITCH(TRUE(),
    OR(B110="الأصول غير المالية"), "الأصول غير المالية",
    OR(B110="الإعانات"), "الإعانات",
    OR(B110="السلع والخدمات"), "السلع والخدمات",
    OR(B110="المنافع الاجتماعية"), "المنافع الاجتماعية",
    OR(B110="المنح"), "المنح",
    OR(B110="تعويضات العاملين"), "تعويضات العاملين",
    OR(B110="مصاريف أخرى"), "مصاريف أخرى",
    OR(B110="نفقات تمويل"), "نفقات تمويل",
    "Other"
)</f>
        <v>تعويضات العاملين</v>
      </c>
    </row>
    <row r="111" spans="1:7" x14ac:dyDescent="0.35">
      <c r="A111" t="s">
        <v>19</v>
      </c>
      <c r="B111" t="s">
        <v>50</v>
      </c>
      <c r="C111" t="s">
        <v>8</v>
      </c>
      <c r="D111">
        <v>2019</v>
      </c>
      <c r="E111" t="s">
        <v>9</v>
      </c>
      <c r="F111">
        <v>160964000000</v>
      </c>
      <c r="G111" t="str" cm="1">
        <f t="array" ref="G111">_xlfn.SWITCH(TRUE(),
    OR(B111="الأصول غير المالية"), "الأصول غير المالية",
    OR(B111="الإعانات"), "الإعانات",
    OR(B111="السلع والخدمات"), "السلع والخدمات",
    OR(B111="المنافع الاجتماعية"), "المنافع الاجتماعية",
    OR(B111="المنح"), "المنح",
    OR(B111="تعويضات العاملين"), "تعويضات العاملين",
    OR(B111="مصاريف أخرى"), "مصاريف أخرى",
    OR(B111="نفقات تمويل"), "نفقات تمويل",
    "Other"
)</f>
        <v>السلع والخدمات</v>
      </c>
    </row>
    <row r="112" spans="1:7" x14ac:dyDescent="0.35">
      <c r="A112" t="s">
        <v>19</v>
      </c>
      <c r="B112" t="s">
        <v>49</v>
      </c>
      <c r="C112" t="s">
        <v>8</v>
      </c>
      <c r="D112">
        <v>2019</v>
      </c>
      <c r="E112" t="s">
        <v>9</v>
      </c>
      <c r="F112">
        <v>21132390000</v>
      </c>
      <c r="G112" t="str" cm="1">
        <f t="array" ref="G112">_xlfn.SWITCH(TRUE(),
    OR(B112="الأصول غير المالية"), "الأصول غير المالية",
    OR(B112="الإعانات"), "الإعانات",
    OR(B112="السلع والخدمات"), "السلع والخدمات",
    OR(B112="المنافع الاجتماعية"), "المنافع الاجتماعية",
    OR(B112="المنح"), "المنح",
    OR(B112="تعويضات العاملين"), "تعويضات العاملين",
    OR(B112="مصاريف أخرى"), "مصاريف أخرى",
    OR(B112="نفقات تمويل"), "نفقات تمويل",
    "Other"
)</f>
        <v>نفقات تمويل</v>
      </c>
    </row>
    <row r="113" spans="1:7" x14ac:dyDescent="0.35">
      <c r="A113" t="s">
        <v>19</v>
      </c>
      <c r="B113" t="s">
        <v>48</v>
      </c>
      <c r="C113" t="s">
        <v>8</v>
      </c>
      <c r="D113">
        <v>2019</v>
      </c>
      <c r="E113" t="s">
        <v>9</v>
      </c>
      <c r="F113">
        <v>23206600000</v>
      </c>
      <c r="G113" t="str" cm="1">
        <f t="array" ref="G113">_xlfn.SWITCH(TRUE(),
    OR(B113="الأصول غير المالية"), "الأصول غير المالية",
    OR(B113="الإعانات"), "الإعانات",
    OR(B113="السلع والخدمات"), "السلع والخدمات",
    OR(B113="المنافع الاجتماعية"), "المنافع الاجتماعية",
    OR(B113="المنح"), "المنح",
    OR(B113="تعويضات العاملين"), "تعويضات العاملين",
    OR(B113="مصاريف أخرى"), "مصاريف أخرى",
    OR(B113="نفقات تمويل"), "نفقات تمويل",
    "Other"
)</f>
        <v>الإعانات</v>
      </c>
    </row>
    <row r="114" spans="1:7" x14ac:dyDescent="0.35">
      <c r="A114" t="s">
        <v>19</v>
      </c>
      <c r="B114" t="s">
        <v>47</v>
      </c>
      <c r="C114" t="s">
        <v>8</v>
      </c>
      <c r="D114">
        <v>2019</v>
      </c>
      <c r="E114" t="s">
        <v>9</v>
      </c>
      <c r="F114">
        <v>1008281999.9999999</v>
      </c>
      <c r="G114" t="str" cm="1">
        <f t="array" ref="G114">_xlfn.SWITCH(TRUE(),
    OR(B114="الأصول غير المالية"), "الأصول غير المالية",
    OR(B114="الإعانات"), "الإعانات",
    OR(B114="السلع والخدمات"), "السلع والخدمات",
    OR(B114="المنافع الاجتماعية"), "المنافع الاجتماعية",
    OR(B114="المنح"), "المنح",
    OR(B114="تعويضات العاملين"), "تعويضات العاملين",
    OR(B114="مصاريف أخرى"), "مصاريف أخرى",
    OR(B114="نفقات تمويل"), "نفقات تمويل",
    "Other"
)</f>
        <v>المنح</v>
      </c>
    </row>
    <row r="115" spans="1:7" x14ac:dyDescent="0.35">
      <c r="A115" t="s">
        <v>19</v>
      </c>
      <c r="B115" t="s">
        <v>46</v>
      </c>
      <c r="C115" t="s">
        <v>8</v>
      </c>
      <c r="D115">
        <v>2019</v>
      </c>
      <c r="E115" t="s">
        <v>9</v>
      </c>
      <c r="F115">
        <v>82128200000</v>
      </c>
      <c r="G115" t="str" cm="1">
        <f t="array" ref="G115">_xlfn.SWITCH(TRUE(),
    OR(B115="الأصول غير المالية"), "الأصول غير المالية",
    OR(B115="الإعانات"), "الإعانات",
    OR(B115="السلع والخدمات"), "السلع والخدمات",
    OR(B115="المنافع الاجتماعية"), "المنافع الاجتماعية",
    OR(B115="المنح"), "المنح",
    OR(B115="تعويضات العاملين"), "تعويضات العاملين",
    OR(B115="مصاريف أخرى"), "مصاريف أخرى",
    OR(B115="نفقات تمويل"), "نفقات تمويل",
    "Other"
)</f>
        <v>المنافع الاجتماعية</v>
      </c>
    </row>
    <row r="116" spans="1:7" x14ac:dyDescent="0.35">
      <c r="A116" t="s">
        <v>19</v>
      </c>
      <c r="B116" t="s">
        <v>44</v>
      </c>
      <c r="C116" t="s">
        <v>8</v>
      </c>
      <c r="D116">
        <v>2019</v>
      </c>
      <c r="E116" t="s">
        <v>9</v>
      </c>
      <c r="F116">
        <v>96526100000</v>
      </c>
      <c r="G116" t="str" cm="1">
        <f t="array" ref="G116">_xlfn.SWITCH(TRUE(),
    OR(B116="الأصول غير المالية"), "الأصول غير المالية",
    OR(B116="الإعانات"), "الإعانات",
    OR(B116="السلع والخدمات"), "السلع والخدمات",
    OR(B116="المنافع الاجتماعية"), "المنافع الاجتماعية",
    OR(B116="المنح"), "المنح",
    OR(B116="تعويضات العاملين"), "تعويضات العاملين",
    OR(B116="مصاريف أخرى"), "مصاريف أخرى",
    OR(B116="نفقات تمويل"), "نفقات تمويل",
    "Other"
)</f>
        <v>Other</v>
      </c>
    </row>
    <row r="117" spans="1:7" x14ac:dyDescent="0.35">
      <c r="A117" t="s">
        <v>33</v>
      </c>
      <c r="B117" t="s">
        <v>35</v>
      </c>
      <c r="C117" t="s">
        <v>8</v>
      </c>
      <c r="D117">
        <v>2019</v>
      </c>
      <c r="E117" t="s">
        <v>9</v>
      </c>
      <c r="F117">
        <v>17375900000</v>
      </c>
      <c r="G117" t="str" cm="1">
        <f t="array" ref="G117">_xlfn.SWITCH(TRUE(),
    OR(B117="الأصول غير المالية"), "الأصول غير المالية",
    OR(B117="الإعانات"), "الإعانات",
    OR(B117="السلع والخدمات"), "السلع والخدمات",
    OR(B117="المنافع الاجتماعية"), "المنافع الاجتماعية",
    OR(B117="المنح"), "المنح",
    OR(B117="تعويضات العاملين"), "تعويضات العاملين",
    OR(B117="مصاريف أخرى"), "مصاريف أخرى",
    OR(B117="نفقات تمويل"), "نفقات تمويل",
    "Other"
)</f>
        <v>Other</v>
      </c>
    </row>
    <row r="118" spans="1:7" x14ac:dyDescent="0.35">
      <c r="A118" t="s">
        <v>33</v>
      </c>
      <c r="B118" t="s">
        <v>36</v>
      </c>
      <c r="C118" t="s">
        <v>8</v>
      </c>
      <c r="D118">
        <v>2019</v>
      </c>
      <c r="E118" t="s">
        <v>9</v>
      </c>
      <c r="F118">
        <v>17204100000</v>
      </c>
      <c r="G118" t="str" cm="1">
        <f t="array" ref="G118">_xlfn.SWITCH(TRUE(),
    OR(B118="الأصول غير المالية"), "الأصول غير المالية",
    OR(B118="الإعانات"), "الإعانات",
    OR(B118="السلع والخدمات"), "السلع والخدمات",
    OR(B118="المنافع الاجتماعية"), "المنافع الاجتماعية",
    OR(B118="المنح"), "المنح",
    OR(B118="تعويضات العاملين"), "تعويضات العاملين",
    OR(B118="مصاريف أخرى"), "مصاريف أخرى",
    OR(B118="نفقات تمويل"), "نفقات تمويل",
    "Other"
)</f>
        <v>Other</v>
      </c>
    </row>
    <row r="119" spans="1:7" x14ac:dyDescent="0.35">
      <c r="A119" t="s">
        <v>41</v>
      </c>
      <c r="B119" t="s">
        <v>41</v>
      </c>
      <c r="C119" t="s">
        <v>8</v>
      </c>
      <c r="D119">
        <v>2019</v>
      </c>
      <c r="E119" t="s">
        <v>9</v>
      </c>
      <c r="F119">
        <v>926844400000</v>
      </c>
      <c r="G119" t="str" cm="1">
        <f t="array" ref="G119">_xlfn.SWITCH(TRUE(),
    OR(B119="الأصول غير المالية"), "الأصول غير المالية",
    OR(B119="الإعانات"), "الإعانات",
    OR(B119="السلع والخدمات"), "السلع والخدمات",
    OR(B119="المنافع الاجتماعية"), "المنافع الاجتماعية",
    OR(B119="المنح"), "المنح",
    OR(B119="تعويضات العاملين"), "تعويضات العاملين",
    OR(B119="مصاريف أخرى"), "مصاريف أخرى",
    OR(B119="نفقات تمويل"), "نفقات تمويل",
    "Other"
)</f>
        <v>Other</v>
      </c>
    </row>
    <row r="120" spans="1:7" x14ac:dyDescent="0.35">
      <c r="A120" t="s">
        <v>33</v>
      </c>
      <c r="B120" t="s">
        <v>37</v>
      </c>
      <c r="C120" t="s">
        <v>8</v>
      </c>
      <c r="D120">
        <v>2020</v>
      </c>
      <c r="E120" t="s">
        <v>9</v>
      </c>
      <c r="F120">
        <v>163345988600</v>
      </c>
      <c r="G120" t="str" cm="1">
        <f t="array" ref="G120">_xlfn.SWITCH(TRUE(),
    OR(B120="الأصول غير المالية"), "الأصول غير المالية",
    OR(B120="الإعانات"), "الإعانات",
    OR(B120="السلع والخدمات"), "السلع والخدمات",
    OR(B120="المنافع الاجتماعية"), "المنافع الاجتماعية",
    OR(B120="المنح"), "المنح",
    OR(B120="تعويضات العاملين"), "تعويضات العاملين",
    OR(B120="مصاريف أخرى"), "مصاريف أخرى",
    OR(B120="نفقات تمويل"), "نفقات تمويل",
    "Other"
)</f>
        <v>Other</v>
      </c>
    </row>
    <row r="121" spans="1:7" x14ac:dyDescent="0.35">
      <c r="A121" t="s">
        <v>41</v>
      </c>
      <c r="B121" t="s">
        <v>41</v>
      </c>
      <c r="C121" t="s">
        <v>8</v>
      </c>
      <c r="D121">
        <v>2020</v>
      </c>
      <c r="E121" t="s">
        <v>9</v>
      </c>
      <c r="F121">
        <v>781833877200</v>
      </c>
      <c r="G121" t="str" cm="1">
        <f t="array" ref="G121">_xlfn.SWITCH(TRUE(),
    OR(B121="الأصول غير المالية"), "الأصول غير المالية",
    OR(B121="الإعانات"), "الإعانات",
    OR(B121="السلع والخدمات"), "السلع والخدمات",
    OR(B121="المنافع الاجتماعية"), "المنافع الاجتماعية",
    OR(B121="المنح"), "المنح",
    OR(B121="تعويضات العاملين"), "تعويضات العاملين",
    OR(B121="مصاريف أخرى"), "مصاريف أخرى",
    OR(B121="نفقات تمويل"), "نفقات تمويل",
    "Other"
)</f>
        <v>Other</v>
      </c>
    </row>
    <row r="122" spans="1:7" x14ac:dyDescent="0.35">
      <c r="A122" t="s">
        <v>19</v>
      </c>
      <c r="B122" t="s">
        <v>44</v>
      </c>
      <c r="C122" t="s">
        <v>8</v>
      </c>
      <c r="D122">
        <v>2020</v>
      </c>
      <c r="E122" t="s">
        <v>9</v>
      </c>
      <c r="F122">
        <v>96745328860</v>
      </c>
      <c r="G122" t="str" cm="1">
        <f t="array" ref="G122">_xlfn.SWITCH(TRUE(),
    OR(B122="الأصول غير المالية"), "الأصول غير المالية",
    OR(B122="الإعانات"), "الإعانات",
    OR(B122="السلع والخدمات"), "السلع والخدمات",
    OR(B122="المنافع الاجتماعية"), "المنافع الاجتماعية",
    OR(B122="المنح"), "المنح",
    OR(B122="تعويضات العاملين"), "تعويضات العاملين",
    OR(B122="مصاريف أخرى"), "مصاريف أخرى",
    OR(B122="نفقات تمويل"), "نفقات تمويل",
    "Other"
)</f>
        <v>Other</v>
      </c>
    </row>
    <row r="123" spans="1:7" x14ac:dyDescent="0.35">
      <c r="A123" t="s">
        <v>19</v>
      </c>
      <c r="B123" t="s">
        <v>46</v>
      </c>
      <c r="C123" t="s">
        <v>8</v>
      </c>
      <c r="D123">
        <v>2020</v>
      </c>
      <c r="E123" t="s">
        <v>9</v>
      </c>
      <c r="F123">
        <v>69308557830</v>
      </c>
      <c r="G123" t="str" cm="1">
        <f t="array" ref="G123">_xlfn.SWITCH(TRUE(),
    OR(B123="الأصول غير المالية"), "الأصول غير المالية",
    OR(B123="الإعانات"), "الإعانات",
    OR(B123="السلع والخدمات"), "السلع والخدمات",
    OR(B123="المنافع الاجتماعية"), "المنافع الاجتماعية",
    OR(B123="المنح"), "المنح",
    OR(B123="تعويضات العاملين"), "تعويضات العاملين",
    OR(B123="مصاريف أخرى"), "مصاريف أخرى",
    OR(B123="نفقات تمويل"), "نفقات تمويل",
    "Other"
)</f>
        <v>المنافع الاجتماعية</v>
      </c>
    </row>
    <row r="124" spans="1:7" x14ac:dyDescent="0.35">
      <c r="A124" t="s">
        <v>19</v>
      </c>
      <c r="B124" t="s">
        <v>47</v>
      </c>
      <c r="C124" t="s">
        <v>8</v>
      </c>
      <c r="D124">
        <v>2020</v>
      </c>
      <c r="E124" t="s">
        <v>9</v>
      </c>
      <c r="F124">
        <v>4410343024</v>
      </c>
      <c r="G124" t="str" cm="1">
        <f t="array" ref="G124">_xlfn.SWITCH(TRUE(),
    OR(B124="الأصول غير المالية"), "الأصول غير المالية",
    OR(B124="الإعانات"), "الإعانات",
    OR(B124="السلع والخدمات"), "السلع والخدمات",
    OR(B124="المنافع الاجتماعية"), "المنافع الاجتماعية",
    OR(B124="المنح"), "المنح",
    OR(B124="تعويضات العاملين"), "تعويضات العاملين",
    OR(B124="مصاريف أخرى"), "مصاريف أخرى",
    OR(B124="نفقات تمويل"), "نفقات تمويل",
    "Other"
)</f>
        <v>المنح</v>
      </c>
    </row>
    <row r="125" spans="1:7" x14ac:dyDescent="0.35">
      <c r="A125" t="s">
        <v>33</v>
      </c>
      <c r="B125" t="s">
        <v>36</v>
      </c>
      <c r="C125" t="s">
        <v>8</v>
      </c>
      <c r="D125">
        <v>2020</v>
      </c>
      <c r="E125" t="s">
        <v>9</v>
      </c>
      <c r="F125">
        <v>18109222360</v>
      </c>
      <c r="G125" t="str" cm="1">
        <f t="array" ref="G125">_xlfn.SWITCH(TRUE(),
    OR(B125="الأصول غير المالية"), "الأصول غير المالية",
    OR(B125="الإعانات"), "الإعانات",
    OR(B125="السلع والخدمات"), "السلع والخدمات",
    OR(B125="المنافع الاجتماعية"), "المنافع الاجتماعية",
    OR(B125="المنح"), "المنح",
    OR(B125="تعويضات العاملين"), "تعويضات العاملين",
    OR(B125="مصاريف أخرى"), "مصاريف أخرى",
    OR(B125="نفقات تمويل"), "نفقات تمويل",
    "Other"
)</f>
        <v>Other</v>
      </c>
    </row>
    <row r="126" spans="1:7" x14ac:dyDescent="0.35">
      <c r="A126" t="s">
        <v>19</v>
      </c>
      <c r="B126" t="s">
        <v>48</v>
      </c>
      <c r="C126" t="s">
        <v>8</v>
      </c>
      <c r="D126">
        <v>2020</v>
      </c>
      <c r="E126" t="s">
        <v>9</v>
      </c>
      <c r="F126">
        <v>27841991280</v>
      </c>
      <c r="G126" t="str" cm="1">
        <f t="array" ref="G126">_xlfn.SWITCH(TRUE(),
    OR(B126="الأصول غير المالية"), "الأصول غير المالية",
    OR(B126="الإعانات"), "الإعانات",
    OR(B126="السلع والخدمات"), "السلع والخدمات",
    OR(B126="المنافع الاجتماعية"), "المنافع الاجتماعية",
    OR(B126="المنح"), "المنح",
    OR(B126="تعويضات العاملين"), "تعويضات العاملين",
    OR(B126="مصاريف أخرى"), "مصاريف أخرى",
    OR(B126="نفقات تمويل"), "نفقات تمويل",
    "Other"
)</f>
        <v>الإعانات</v>
      </c>
    </row>
    <row r="127" spans="1:7" x14ac:dyDescent="0.35">
      <c r="A127" t="s">
        <v>31</v>
      </c>
      <c r="B127" t="s">
        <v>32</v>
      </c>
      <c r="C127" t="s">
        <v>8</v>
      </c>
      <c r="D127">
        <v>2020</v>
      </c>
      <c r="E127" t="s">
        <v>9</v>
      </c>
      <c r="F127">
        <v>2879817000000</v>
      </c>
      <c r="G127" t="str" cm="1">
        <f t="array" ref="G127">_xlfn.SWITCH(TRUE(),
    OR(B127="الأصول غير المالية"), "الأصول غير المالية",
    OR(B127="الإعانات"), "الإعانات",
    OR(B127="السلع والخدمات"), "السلع والخدمات",
    OR(B127="المنافع الاجتماعية"), "المنافع الاجتماعية",
    OR(B127="المنح"), "المنح",
    OR(B127="تعويضات العاملين"), "تعويضات العاملين",
    OR(B127="مصاريف أخرى"), "مصاريف أخرى",
    OR(B127="نفقات تمويل"), "نفقات تمويل",
    "Other"
)</f>
        <v>Other</v>
      </c>
    </row>
    <row r="128" spans="1:7" x14ac:dyDescent="0.35">
      <c r="A128" t="s">
        <v>19</v>
      </c>
      <c r="B128" t="s">
        <v>49</v>
      </c>
      <c r="C128" t="s">
        <v>8</v>
      </c>
      <c r="D128">
        <v>2020</v>
      </c>
      <c r="E128" t="s">
        <v>9</v>
      </c>
      <c r="F128">
        <v>24457019330</v>
      </c>
      <c r="G128" t="str" cm="1">
        <f t="array" ref="G128">_xlfn.SWITCH(TRUE(),
    OR(B128="الأصول غير المالية"), "الأصول غير المالية",
    OR(B128="الإعانات"), "الإعانات",
    OR(B128="السلع والخدمات"), "السلع والخدمات",
    OR(B128="المنافع الاجتماعية"), "المنافع الاجتماعية",
    OR(B128="المنح"), "المنح",
    OR(B128="تعويضات العاملين"), "تعويضات العاملين",
    OR(B128="مصاريف أخرى"), "مصاريف أخرى",
    OR(B128="نفقات تمويل"), "نفقات تمويل",
    "Other"
)</f>
        <v>نفقات تمويل</v>
      </c>
    </row>
    <row r="129" spans="1:7" x14ac:dyDescent="0.35">
      <c r="A129" t="s">
        <v>19</v>
      </c>
      <c r="B129" t="s">
        <v>50</v>
      </c>
      <c r="C129" t="s">
        <v>8</v>
      </c>
      <c r="D129">
        <v>2020</v>
      </c>
      <c r="E129" t="s">
        <v>9</v>
      </c>
      <c r="F129">
        <v>203177058500</v>
      </c>
      <c r="G129" t="str" cm="1">
        <f t="array" ref="G129">_xlfn.SWITCH(TRUE(),
    OR(B129="الأصول غير المالية"), "الأصول غير المالية",
    OR(B129="الإعانات"), "الإعانات",
    OR(B129="السلع والخدمات"), "السلع والخدمات",
    OR(B129="المنافع الاجتماعية"), "المنافع الاجتماعية",
    OR(B129="المنح"), "المنح",
    OR(B129="تعويضات العاملين"), "تعويضات العاملين",
    OR(B129="مصاريف أخرى"), "مصاريف أخرى",
    OR(B129="نفقات تمويل"), "نفقات تمويل",
    "Other"
)</f>
        <v>السلع والخدمات</v>
      </c>
    </row>
    <row r="130" spans="1:7" x14ac:dyDescent="0.35">
      <c r="A130" t="s">
        <v>19</v>
      </c>
      <c r="B130" t="s">
        <v>20</v>
      </c>
      <c r="C130" t="s">
        <v>8</v>
      </c>
      <c r="D130">
        <v>2020</v>
      </c>
      <c r="E130" t="s">
        <v>9</v>
      </c>
      <c r="F130">
        <v>494706079200</v>
      </c>
      <c r="G130" t="str" cm="1">
        <f t="array" ref="G130">_xlfn.SWITCH(TRUE(),
    OR(B130="الأصول غير المالية"), "الأصول غير المالية",
    OR(B130="الإعانات"), "الإعانات",
    OR(B130="السلع والخدمات"), "السلع والخدمات",
    OR(B130="المنافع الاجتماعية"), "المنافع الاجتماعية",
    OR(B130="المنح"), "المنح",
    OR(B130="تعويضات العاملين"), "تعويضات العاملين",
    OR(B130="مصاريف أخرى"), "مصاريف أخرى",
    OR(B130="نفقات تمويل"), "نفقات تمويل",
    "Other"
)</f>
        <v>تعويضات العاملين</v>
      </c>
    </row>
    <row r="131" spans="1:7" x14ac:dyDescent="0.35">
      <c r="A131" t="s">
        <v>33</v>
      </c>
      <c r="B131" t="s">
        <v>35</v>
      </c>
      <c r="C131" t="s">
        <v>8</v>
      </c>
      <c r="D131">
        <v>2020</v>
      </c>
      <c r="E131" t="s">
        <v>9</v>
      </c>
      <c r="F131">
        <v>17778754350</v>
      </c>
      <c r="G131" t="str" cm="1">
        <f t="array" ref="G131">_xlfn.SWITCH(TRUE(),
    OR(B131="الأصول غير المالية"), "الأصول غير المالية",
    OR(B131="الإعانات"), "الإعانات",
    OR(B131="السلع والخدمات"), "السلع والخدمات",
    OR(B131="المنافع الاجتماعية"), "المنافع الاجتماعية",
    OR(B131="المنح"), "المنح",
    OR(B131="تعويضات العاملين"), "تعويضات العاملين",
    OR(B131="مصاريف أخرى"), "مصاريف أخرى",
    OR(B131="نفقات تمويل"), "نفقات تمويل",
    "Other"
)</f>
        <v>Other</v>
      </c>
    </row>
    <row r="132" spans="1:7" x14ac:dyDescent="0.35">
      <c r="A132" t="s">
        <v>45</v>
      </c>
      <c r="B132" t="s">
        <v>45</v>
      </c>
      <c r="C132" t="s">
        <v>8</v>
      </c>
      <c r="D132">
        <v>2020</v>
      </c>
      <c r="E132" t="s">
        <v>9</v>
      </c>
      <c r="F132">
        <v>1075733964999.9999</v>
      </c>
      <c r="G132" t="str" cm="1">
        <f t="array" ref="G132">_xlfn.SWITCH(TRUE(),
    OR(B132="الأصول غير المالية"), "الأصول غير المالية",
    OR(B132="الإعانات"), "الإعانات",
    OR(B132="السلع والخدمات"), "السلع والخدمات",
    OR(B132="المنافع الاجتماعية"), "المنافع الاجتماعية",
    OR(B132="المنح"), "المنح",
    OR(B132="تعويضات العاملين"), "تعويضات العاملين",
    OR(B132="مصاريف أخرى"), "مصاريف أخرى",
    OR(B132="نفقات تمويل"), "نفقات تمويل",
    "Other"
)</f>
        <v>Other</v>
      </c>
    </row>
    <row r="133" spans="1:7" x14ac:dyDescent="0.35">
      <c r="A133" t="s">
        <v>24</v>
      </c>
      <c r="B133" t="s">
        <v>25</v>
      </c>
      <c r="C133" t="s">
        <v>8</v>
      </c>
      <c r="D133">
        <v>2020</v>
      </c>
      <c r="E133" t="s">
        <v>9</v>
      </c>
      <c r="F133">
        <v>359000000000</v>
      </c>
      <c r="G133" t="str" cm="1">
        <f t="array" ref="G133">_xlfn.SWITCH(TRUE(),
    OR(B133="الأصول غير المالية"), "الأصول غير المالية",
    OR(B133="الإعانات"), "الإعانات",
    OR(B133="السلع والخدمات"), "السلع والخدمات",
    OR(B133="المنافع الاجتماعية"), "المنافع الاجتماعية",
    OR(B133="المنح"), "المنح",
    OR(B133="تعويضات العاملين"), "تعويضات العاملين",
    OR(B133="مصاريف أخرى"), "مصاريف أخرى",
    OR(B133="نفقات تمويل"), "نفقات تمويل",
    "Other"
)</f>
        <v>Other</v>
      </c>
    </row>
    <row r="134" spans="1:7" x14ac:dyDescent="0.35">
      <c r="A134" t="s">
        <v>38</v>
      </c>
      <c r="B134" t="s">
        <v>39</v>
      </c>
      <c r="C134" t="s">
        <v>8</v>
      </c>
      <c r="D134">
        <v>2020</v>
      </c>
      <c r="E134" t="s">
        <v>9</v>
      </c>
      <c r="F134">
        <v>369000000000</v>
      </c>
      <c r="G134" t="str" cm="1">
        <f t="array" ref="G134">_xlfn.SWITCH(TRUE(),
    OR(B134="الأصول غير المالية"), "الأصول غير المالية",
    OR(B134="الإعانات"), "الإعانات",
    OR(B134="السلع والخدمات"), "السلع والخدمات",
    OR(B134="المنافع الاجتماعية"), "المنافع الاجتماعية",
    OR(B134="المنح"), "المنح",
    OR(B134="تعويضات العاملين"), "تعويضات العاملين",
    OR(B134="مصاريف أخرى"), "مصاريف أخرى",
    OR(B134="نفقات تمويل"), "نفقات تمويل",
    "Other"
)</f>
        <v>Other</v>
      </c>
    </row>
    <row r="135" spans="1:7" x14ac:dyDescent="0.35">
      <c r="A135" t="s">
        <v>21</v>
      </c>
      <c r="B135" t="s">
        <v>23</v>
      </c>
      <c r="C135" t="s">
        <v>8</v>
      </c>
      <c r="D135">
        <v>2020</v>
      </c>
      <c r="E135" t="s">
        <v>9</v>
      </c>
      <c r="F135">
        <v>174253000000</v>
      </c>
      <c r="G135" t="str" cm="1">
        <f t="array" ref="G135">_xlfn.SWITCH(TRUE(),
    OR(B135="الأصول غير المالية"), "الأصول غير المالية",
    OR(B135="الإعانات"), "الإعانات",
    OR(B135="السلع والخدمات"), "السلع والخدمات",
    OR(B135="المنافع الاجتماعية"), "المنافع الاجتماعية",
    OR(B135="المنح"), "المنح",
    OR(B135="تعويضات العاملين"), "تعويضات العاملين",
    OR(B135="مصاريف أخرى"), "مصاريف أخرى",
    OR(B135="نفقات تمويل"), "نفقات تمويل",
    "Other"
)</f>
        <v>Other</v>
      </c>
    </row>
    <row r="136" spans="1:7" x14ac:dyDescent="0.35">
      <c r="A136" t="s">
        <v>33</v>
      </c>
      <c r="B136" t="s">
        <v>34</v>
      </c>
      <c r="C136" t="s">
        <v>8</v>
      </c>
      <c r="D136">
        <v>2020</v>
      </c>
      <c r="E136" t="s">
        <v>9</v>
      </c>
      <c r="F136">
        <v>27149397650</v>
      </c>
      <c r="G136" t="str" cm="1">
        <f t="array" ref="G136">_xlfn.SWITCH(TRUE(),
    OR(B136="الأصول غير المالية"), "الأصول غير المالية",
    OR(B136="الإعانات"), "الإعانات",
    OR(B136="السلع والخدمات"), "السلع والخدمات",
    OR(B136="المنافع الاجتماعية"), "المنافع الاجتماعية",
    OR(B136="المنح"), "المنح",
    OR(B136="تعويضات العاملين"), "تعويضات العاملين",
    OR(B136="مصاريف أخرى"), "مصاريف أخرى",
    OR(B136="نفقات تمويل"), "نفقات تمويل",
    "Other"
)</f>
        <v>Other</v>
      </c>
    </row>
    <row r="137" spans="1:7" x14ac:dyDescent="0.35">
      <c r="A137" t="s">
        <v>26</v>
      </c>
      <c r="B137" t="s">
        <v>27</v>
      </c>
      <c r="C137" t="s">
        <v>8</v>
      </c>
      <c r="D137">
        <v>2020</v>
      </c>
      <c r="E137" t="s">
        <v>9</v>
      </c>
      <c r="F137">
        <v>854000000000</v>
      </c>
      <c r="G137" t="str" cm="1">
        <f t="array" ref="G137">_xlfn.SWITCH(TRUE(),
    OR(B137="الأصول غير المالية"), "الأصول غير المالية",
    OR(B137="الإعانات"), "الإعانات",
    OR(B137="السلع والخدمات"), "السلع والخدمات",
    OR(B137="المنافع الاجتماعية"), "المنافع الاجتماعية",
    OR(B137="المنح"), "المنح",
    OR(B137="تعويضات العاملين"), "تعويضات العاملين",
    OR(B137="مصاريف أخرى"), "مصاريف أخرى",
    OR(B137="نفقات تمويل"), "نفقات تمويل",
    "Other"
)</f>
        <v>Other</v>
      </c>
    </row>
    <row r="138" spans="1:7" x14ac:dyDescent="0.35">
      <c r="A138" t="s">
        <v>21</v>
      </c>
      <c r="B138" t="s">
        <v>22</v>
      </c>
      <c r="C138" t="s">
        <v>8</v>
      </c>
      <c r="D138">
        <v>2020</v>
      </c>
      <c r="E138" t="s">
        <v>9</v>
      </c>
      <c r="F138">
        <v>45747000000</v>
      </c>
      <c r="G138" t="str" cm="1">
        <f t="array" ref="G138">_xlfn.SWITCH(TRUE(),
    OR(B138="الأصول غير المالية"), "الأصول غير المالية",
    OR(B138="الإعانات"), "الإعانات",
    OR(B138="السلع والخدمات"), "السلع والخدمات",
    OR(B138="المنافع الاجتماعية"), "المنافع الاجتماعية",
    OR(B138="المنح"), "المنح",
    OR(B138="تعويضات العاملين"), "تعويضات العاملين",
    OR(B138="مصاريف أخرى"), "مصاريف أخرى",
    OR(B138="نفقات تمويل"), "نفقات تمويل",
    "Other"
)</f>
        <v>Other</v>
      </c>
    </row>
    <row r="139" spans="1:7" x14ac:dyDescent="0.35">
      <c r="A139" t="s">
        <v>38</v>
      </c>
      <c r="B139" t="s">
        <v>40</v>
      </c>
      <c r="C139" t="s">
        <v>8</v>
      </c>
      <c r="D139">
        <v>2020</v>
      </c>
      <c r="E139" t="s">
        <v>9</v>
      </c>
      <c r="F139">
        <v>413048900800</v>
      </c>
      <c r="G139" t="str" cm="1">
        <f t="array" ref="G139">_xlfn.SWITCH(TRUE(),
    OR(B139="الأصول غير المالية"), "الأصول غير المالية",
    OR(B139="الإعانات"), "الإعانات",
    OR(B139="السلع والخدمات"), "السلع والخدمات",
    OR(B139="المنافع الاجتماعية"), "المنافع الاجتماعية",
    OR(B139="المنح"), "المنح",
    OR(B139="تعويضات العاملين"), "تعويضات العاملين",
    OR(B139="مصاريف أخرى"), "مصاريف أخرى",
    OR(B139="نفقات تمويل"), "نفقات تمويل",
    "Other"
)</f>
        <v>Other</v>
      </c>
    </row>
    <row r="140" spans="1:7" x14ac:dyDescent="0.35">
      <c r="A140" t="s">
        <v>28</v>
      </c>
      <c r="B140" t="s">
        <v>29</v>
      </c>
      <c r="C140" t="s">
        <v>8</v>
      </c>
      <c r="D140">
        <v>2020</v>
      </c>
      <c r="E140" t="s">
        <v>9</v>
      </c>
      <c r="F140">
        <v>-293900119900</v>
      </c>
      <c r="G140" t="str" cm="1">
        <f t="array" ref="G140">_xlfn.SWITCH(TRUE(),
    OR(B140="الأصول غير المالية"), "الأصول غير المالية",
    OR(B140="الإعانات"), "الإعانات",
    OR(B140="السلع والخدمات"), "السلع والخدمات",
    OR(B140="المنافع الاجتماعية"), "المنافع الاجتماعية",
    OR(B140="المنح"), "المنح",
    OR(B140="تعويضات العاملين"), "تعويضات العاملين",
    OR(B140="مصاريف أخرى"), "مصاريف أخرى",
    OR(B140="نفقات تمويل"), "نفقات تمويل",
    "Other"
)</f>
        <v>Other</v>
      </c>
    </row>
    <row r="141" spans="1:7" x14ac:dyDescent="0.35">
      <c r="A141" t="s">
        <v>42</v>
      </c>
      <c r="B141" t="s">
        <v>43</v>
      </c>
      <c r="C141" t="s">
        <v>8</v>
      </c>
      <c r="D141">
        <v>2020</v>
      </c>
      <c r="E141" t="s">
        <v>9</v>
      </c>
      <c r="F141">
        <v>155087586500</v>
      </c>
      <c r="G141" t="str" cm="1">
        <f t="array" ref="G141">_xlfn.SWITCH(TRUE(),
    OR(B141="الأصول غير المالية"), "الأصول غير المالية",
    OR(B141="الإعانات"), "الإعانات",
    OR(B141="السلع والخدمات"), "السلع والخدمات",
    OR(B141="المنافع الاجتماعية"), "المنافع الاجتماعية",
    OR(B141="المنح"), "المنح",
    OR(B141="تعويضات العاملين"), "تعويضات العاملين",
    OR(B141="مصاريف أخرى"), "مصاريف أخرى",
    OR(B141="نفقات تمويل"), "نفقات تمويل",
    "Other"
)</f>
        <v>الأصول غير المالية</v>
      </c>
    </row>
    <row r="142" spans="1:7" x14ac:dyDescent="0.35">
      <c r="A142" t="s">
        <v>30</v>
      </c>
      <c r="B142" t="s">
        <v>30</v>
      </c>
      <c r="C142" t="s">
        <v>8</v>
      </c>
      <c r="D142">
        <v>2020</v>
      </c>
      <c r="E142" t="s">
        <v>9</v>
      </c>
      <c r="F142">
        <v>555450514200</v>
      </c>
      <c r="G142" t="str" cm="1">
        <f t="array" ref="G142">_xlfn.SWITCH(TRUE(),
    OR(B142="الأصول غير المالية"), "الأصول غير المالية",
    OR(B142="الإعانات"), "الإعانات",
    OR(B142="السلع والخدمات"), "السلع والخدمات",
    OR(B142="المنافع الاجتماعية"), "المنافع الاجتماعية",
    OR(B142="المنح"), "المنح",
    OR(B142="تعويضات العاملين"), "تعويضات العاملين",
    OR(B142="مصاريف أخرى"), "مصاريف أخرى",
    OR(B142="نفقات تمويل"), "نفقات تمويل",
    "Other"
)</f>
        <v>Other</v>
      </c>
    </row>
    <row r="143" spans="1:7" x14ac:dyDescent="0.35">
      <c r="A143" t="s">
        <v>41</v>
      </c>
      <c r="B143" t="s">
        <v>41</v>
      </c>
      <c r="C143" t="s">
        <v>8</v>
      </c>
      <c r="D143">
        <v>2021</v>
      </c>
      <c r="E143" t="s">
        <v>9</v>
      </c>
      <c r="F143">
        <v>964865690500</v>
      </c>
      <c r="G143" t="str" cm="1">
        <f t="array" ref="G143">_xlfn.SWITCH(TRUE(),
    OR(B143="الأصول غير المالية"), "الأصول غير المالية",
    OR(B143="الإعانات"), "الإعانات",
    OR(B143="السلع والخدمات"), "السلع والخدمات",
    OR(B143="المنافع الاجتماعية"), "المنافع الاجتماعية",
    OR(B143="المنح"), "المنح",
    OR(B143="تعويضات العاملين"), "تعويضات العاملين",
    OR(B143="مصاريف أخرى"), "مصاريف أخرى",
    OR(B143="نفقات تمويل"), "نفقات تمويل",
    "Other"
)</f>
        <v>Other</v>
      </c>
    </row>
    <row r="144" spans="1:7" x14ac:dyDescent="0.35">
      <c r="A144" t="s">
        <v>31</v>
      </c>
      <c r="B144" t="s">
        <v>32</v>
      </c>
      <c r="C144" t="s">
        <v>8</v>
      </c>
      <c r="D144">
        <v>2021</v>
      </c>
      <c r="E144" t="s">
        <v>9</v>
      </c>
      <c r="F144">
        <v>3684979000000</v>
      </c>
      <c r="G144" t="str" cm="1">
        <f t="array" ref="G144">_xlfn.SWITCH(TRUE(),
    OR(B144="الأصول غير المالية"), "الأصول غير المالية",
    OR(B144="الإعانات"), "الإعانات",
    OR(B144="السلع والخدمات"), "السلع والخدمات",
    OR(B144="المنافع الاجتماعية"), "المنافع الاجتماعية",
    OR(B144="المنح"), "المنح",
    OR(B144="تعويضات العاملين"), "تعويضات العاملين",
    OR(B144="مصاريف أخرى"), "مصاريف أخرى",
    OR(B144="نفقات تمويل"), "نفقات تمويل",
    "Other"
)</f>
        <v>Other</v>
      </c>
    </row>
    <row r="145" spans="1:7" x14ac:dyDescent="0.35">
      <c r="A145" t="s">
        <v>42</v>
      </c>
      <c r="B145" t="s">
        <v>43</v>
      </c>
      <c r="C145" t="s">
        <v>8</v>
      </c>
      <c r="D145">
        <v>2021</v>
      </c>
      <c r="E145" t="s">
        <v>9</v>
      </c>
      <c r="F145">
        <v>117217274400</v>
      </c>
      <c r="G145" t="str" cm="1">
        <f t="array" ref="G145">_xlfn.SWITCH(TRUE(),
    OR(B145="الأصول غير المالية"), "الأصول غير المالية",
    OR(B145="الإعانات"), "الإعانات",
    OR(B145="السلع والخدمات"), "السلع والخدمات",
    OR(B145="المنافع الاجتماعية"), "المنافع الاجتماعية",
    OR(B145="المنح"), "المنح",
    OR(B145="تعويضات العاملين"), "تعويضات العاملين",
    OR(B145="مصاريف أخرى"), "مصاريف أخرى",
    OR(B145="نفقات تمويل"), "نفقات تمويل",
    "Other"
)</f>
        <v>الأصول غير المالية</v>
      </c>
    </row>
    <row r="146" spans="1:7" x14ac:dyDescent="0.35">
      <c r="A146" t="s">
        <v>28</v>
      </c>
      <c r="B146" t="s">
        <v>29</v>
      </c>
      <c r="C146" t="s">
        <v>8</v>
      </c>
      <c r="D146">
        <v>2021</v>
      </c>
      <c r="E146" t="s">
        <v>9</v>
      </c>
      <c r="F146">
        <v>-73447000000</v>
      </c>
      <c r="G146" t="str" cm="1">
        <f t="array" ref="G146">_xlfn.SWITCH(TRUE(),
    OR(B146="الأصول غير المالية"), "الأصول غير المالية",
    OR(B146="الإعانات"), "الإعانات",
    OR(B146="السلع والخدمات"), "السلع والخدمات",
    OR(B146="المنافع الاجتماعية"), "المنافع الاجتماعية",
    OR(B146="المنح"), "المنح",
    OR(B146="تعويضات العاملين"), "تعويضات العاملين",
    OR(B146="مصاريف أخرى"), "مصاريف أخرى",
    OR(B146="نفقات تمويل"), "نفقات تمويل",
    "Other"
)</f>
        <v>Other</v>
      </c>
    </row>
    <row r="147" spans="1:7" x14ac:dyDescent="0.35">
      <c r="A147" t="s">
        <v>26</v>
      </c>
      <c r="B147" t="s">
        <v>27</v>
      </c>
      <c r="C147" t="s">
        <v>8</v>
      </c>
      <c r="D147">
        <v>2021</v>
      </c>
      <c r="E147" t="s">
        <v>9</v>
      </c>
      <c r="F147">
        <v>938000000000</v>
      </c>
      <c r="G147" t="str" cm="1">
        <f t="array" ref="G147">_xlfn.SWITCH(TRUE(),
    OR(B147="الأصول غير المالية"), "الأصول غير المالية",
    OR(B147="الإعانات"), "الإعانات",
    OR(B147="السلع والخدمات"), "السلع والخدمات",
    OR(B147="المنافع الاجتماعية"), "المنافع الاجتماعية",
    OR(B147="المنح"), "المنح",
    OR(B147="تعويضات العاملين"), "تعويضات العاملين",
    OR(B147="مصاريف أخرى"), "مصاريف أخرى",
    OR(B147="نفقات تمويل"), "نفقات تمويل",
    "Other"
)</f>
        <v>Other</v>
      </c>
    </row>
    <row r="148" spans="1:7" x14ac:dyDescent="0.35">
      <c r="A148" t="s">
        <v>30</v>
      </c>
      <c r="B148" t="s">
        <v>30</v>
      </c>
      <c r="C148" t="s">
        <v>8</v>
      </c>
      <c r="D148">
        <v>2021</v>
      </c>
      <c r="E148" t="s">
        <v>9</v>
      </c>
      <c r="F148">
        <v>648380460200</v>
      </c>
      <c r="G148" t="str" cm="1">
        <f t="array" ref="G148">_xlfn.SWITCH(TRUE(),
    OR(B148="الأصول غير المالية"), "الأصول غير المالية",
    OR(B148="الإعانات"), "الإعانات",
    OR(B148="السلع والخدمات"), "السلع والخدمات",
    OR(B148="المنافع الاجتماعية"), "المنافع الاجتماعية",
    OR(B148="المنح"), "المنح",
    OR(B148="تعويضات العاملين"), "تعويضات العاملين",
    OR(B148="مصاريف أخرى"), "مصاريف أخرى",
    OR(B148="نفقات تمويل"), "نفقات تمويل",
    "Other"
)</f>
        <v>Other</v>
      </c>
    </row>
    <row r="149" spans="1:7" x14ac:dyDescent="0.35">
      <c r="A149" t="s">
        <v>33</v>
      </c>
      <c r="B149" t="s">
        <v>34</v>
      </c>
      <c r="C149" t="s">
        <v>8</v>
      </c>
      <c r="D149">
        <v>2021</v>
      </c>
      <c r="E149" t="s">
        <v>9</v>
      </c>
      <c r="F149">
        <v>28553923140</v>
      </c>
      <c r="G149" t="str" cm="1">
        <f t="array" ref="G149">_xlfn.SWITCH(TRUE(),
    OR(B149="الأصول غير المالية"), "الأصول غير المالية",
    OR(B149="الإعانات"), "الإعانات",
    OR(B149="السلع والخدمات"), "السلع والخدمات",
    OR(B149="المنافع الاجتماعية"), "المنافع الاجتماعية",
    OR(B149="المنح"), "المنح",
    OR(B149="تعويضات العاملين"), "تعويضات العاملين",
    OR(B149="مصاريف أخرى"), "مصاريف أخرى",
    OR(B149="نفقات تمويل"), "نفقات تمويل",
    "Other"
)</f>
        <v>Other</v>
      </c>
    </row>
    <row r="150" spans="1:7" x14ac:dyDescent="0.35">
      <c r="A150" t="s">
        <v>38</v>
      </c>
      <c r="B150" t="s">
        <v>40</v>
      </c>
      <c r="C150" t="s">
        <v>8</v>
      </c>
      <c r="D150">
        <v>2021</v>
      </c>
      <c r="E150" t="s">
        <v>9</v>
      </c>
      <c r="F150">
        <v>562191118100</v>
      </c>
      <c r="G150" t="str" cm="1">
        <f t="array" ref="G150">_xlfn.SWITCH(TRUE(),
    OR(B150="الأصول غير المالية"), "الأصول غير المالية",
    OR(B150="الإعانات"), "الإعانات",
    OR(B150="السلع والخدمات"), "السلع والخدمات",
    OR(B150="المنافع الاجتماعية"), "المنافع الاجتماعية",
    OR(B150="المنح"), "المنح",
    OR(B150="تعويضات العاملين"), "تعويضات العاملين",
    OR(B150="مصاريف أخرى"), "مصاريف أخرى",
    OR(B150="نفقات تمويل"), "نفقات تمويل",
    "Other"
)</f>
        <v>Other</v>
      </c>
    </row>
    <row r="151" spans="1:7" x14ac:dyDescent="0.35">
      <c r="A151" t="s">
        <v>24</v>
      </c>
      <c r="B151" t="s">
        <v>25</v>
      </c>
      <c r="C151" t="s">
        <v>8</v>
      </c>
      <c r="D151">
        <v>2021</v>
      </c>
      <c r="E151" t="s">
        <v>9</v>
      </c>
      <c r="F151">
        <v>347000000000</v>
      </c>
      <c r="G151" t="str" cm="1">
        <f t="array" ref="G151">_xlfn.SWITCH(TRUE(),
    OR(B151="الأصول غير المالية"), "الأصول غير المالية",
    OR(B151="الإعانات"), "الإعانات",
    OR(B151="السلع والخدمات"), "السلع والخدمات",
    OR(B151="المنافع الاجتماعية"), "المنافع الاجتماعية",
    OR(B151="المنح"), "المنح",
    OR(B151="تعويضات العاملين"), "تعويضات العاملين",
    OR(B151="مصاريف أخرى"), "مصاريف أخرى",
    OR(B151="نفقات تمويل"), "نفقات تمويل",
    "Other"
)</f>
        <v>Other</v>
      </c>
    </row>
    <row r="152" spans="1:7" x14ac:dyDescent="0.35">
      <c r="A152" t="s">
        <v>21</v>
      </c>
      <c r="B152" t="s">
        <v>22</v>
      </c>
      <c r="C152" t="s">
        <v>8</v>
      </c>
      <c r="D152">
        <v>2021</v>
      </c>
      <c r="E152" t="s">
        <v>9</v>
      </c>
      <c r="F152">
        <v>49144000000</v>
      </c>
      <c r="G152" t="str" cm="1">
        <f t="array" ref="G152">_xlfn.SWITCH(TRUE(),
    OR(B152="الأصول غير المالية"), "الأصول غير المالية",
    OR(B152="الإعانات"), "الإعانات",
    OR(B152="السلع والخدمات"), "السلع والخدمات",
    OR(B152="المنافع الاجتماعية"), "المنافع الاجتماعية",
    OR(B152="المنح"), "المنح",
    OR(B152="تعويضات العاملين"), "تعويضات العاملين",
    OR(B152="مصاريف أخرى"), "مصاريف أخرى",
    OR(B152="نفقات تمويل"), "نفقات تمويل",
    "Other"
)</f>
        <v>Other</v>
      </c>
    </row>
    <row r="153" spans="1:7" x14ac:dyDescent="0.35">
      <c r="A153" t="s">
        <v>21</v>
      </c>
      <c r="B153" t="s">
        <v>23</v>
      </c>
      <c r="C153" t="s">
        <v>8</v>
      </c>
      <c r="D153">
        <v>2021</v>
      </c>
      <c r="E153" t="s">
        <v>9</v>
      </c>
      <c r="F153">
        <v>108753000000</v>
      </c>
      <c r="G153" t="str" cm="1">
        <f t="array" ref="G153">_xlfn.SWITCH(TRUE(),
    OR(B153="الأصول غير المالية"), "الأصول غير المالية",
    OR(B153="الإعانات"), "الإعانات",
    OR(B153="السلع والخدمات"), "السلع والخدمات",
    OR(B153="المنافع الاجتماعية"), "المنافع الاجتماعية",
    OR(B153="المنح"), "المنح",
    OR(B153="تعويضات العاملين"), "تعويضات العاملين",
    OR(B153="مصاريف أخرى"), "مصاريف أخرى",
    OR(B153="نفقات تمويل"), "نفقات تمويل",
    "Other"
)</f>
        <v>Other</v>
      </c>
    </row>
    <row r="154" spans="1:7" x14ac:dyDescent="0.35">
      <c r="A154" t="s">
        <v>38</v>
      </c>
      <c r="B154" t="s">
        <v>39</v>
      </c>
      <c r="C154" t="s">
        <v>8</v>
      </c>
      <c r="D154">
        <v>2021</v>
      </c>
      <c r="E154" t="s">
        <v>9</v>
      </c>
      <c r="F154">
        <v>403000000000</v>
      </c>
      <c r="G154" t="str" cm="1">
        <f t="array" ref="G154">_xlfn.SWITCH(TRUE(),
    OR(B154="الأصول غير المالية"), "الأصول غير المالية",
    OR(B154="الإعانات"), "الإعانات",
    OR(B154="السلع والخدمات"), "السلع والخدمات",
    OR(B154="المنافع الاجتماعية"), "المنافع الاجتماعية",
    OR(B154="المنح"), "المنح",
    OR(B154="تعويضات العاملين"), "تعويضات العاملين",
    OR(B154="مصاريف أخرى"), "مصاريف أخرى",
    OR(B154="نفقات تمويل"), "نفقات تمويل",
    "Other"
)</f>
        <v>Other</v>
      </c>
    </row>
    <row r="155" spans="1:7" x14ac:dyDescent="0.35">
      <c r="A155" t="s">
        <v>33</v>
      </c>
      <c r="B155" t="s">
        <v>35</v>
      </c>
      <c r="C155" t="s">
        <v>8</v>
      </c>
      <c r="D155">
        <v>2021</v>
      </c>
      <c r="E155" t="s">
        <v>9</v>
      </c>
      <c r="F155">
        <v>18719236680</v>
      </c>
      <c r="G155" t="str" cm="1">
        <f t="array" ref="G155">_xlfn.SWITCH(TRUE(),
    OR(B155="الأصول غير المالية"), "الأصول غير المالية",
    OR(B155="الإعانات"), "الإعانات",
    OR(B155="السلع والخدمات"), "السلع والخدمات",
    OR(B155="المنافع الاجتماعية"), "المنافع الاجتماعية",
    OR(B155="المنح"), "المنح",
    OR(B155="تعويضات العاملين"), "تعويضات العاملين",
    OR(B155="مصاريف أخرى"), "مصاريف أخرى",
    OR(B155="نفقات تمويل"), "نفقات تمويل",
    "Other"
)</f>
        <v>Other</v>
      </c>
    </row>
    <row r="156" spans="1:7" x14ac:dyDescent="0.35">
      <c r="A156" t="s">
        <v>45</v>
      </c>
      <c r="B156" t="s">
        <v>45</v>
      </c>
      <c r="C156" t="s">
        <v>8</v>
      </c>
      <c r="D156">
        <v>2021</v>
      </c>
      <c r="E156" t="s">
        <v>9</v>
      </c>
      <c r="F156">
        <v>1038933029000</v>
      </c>
      <c r="G156" t="str" cm="1">
        <f t="array" ref="G156">_xlfn.SWITCH(TRUE(),
    OR(B156="الأصول غير المالية"), "الأصول غير المالية",
    OR(B156="الإعانات"), "الإعانات",
    OR(B156="السلع والخدمات"), "السلع والخدمات",
    OR(B156="المنافع الاجتماعية"), "المنافع الاجتماعية",
    OR(B156="المنح"), "المنح",
    OR(B156="تعويضات العاملين"), "تعويضات العاملين",
    OR(B156="مصاريف أخرى"), "مصاريف أخرى",
    OR(B156="نفقات تمويل"), "نفقات تمويل",
    "Other"
)</f>
        <v>Other</v>
      </c>
    </row>
    <row r="157" spans="1:7" x14ac:dyDescent="0.35">
      <c r="A157" t="s">
        <v>19</v>
      </c>
      <c r="B157" t="s">
        <v>20</v>
      </c>
      <c r="C157" t="s">
        <v>8</v>
      </c>
      <c r="D157">
        <v>2021</v>
      </c>
      <c r="E157" t="s">
        <v>9</v>
      </c>
      <c r="F157">
        <v>495719779300</v>
      </c>
      <c r="G157" t="str" cm="1">
        <f t="array" ref="G157">_xlfn.SWITCH(TRUE(),
    OR(B157="الأصول غير المالية"), "الأصول غير المالية",
    OR(B157="الإعانات"), "الإعانات",
    OR(B157="السلع والخدمات"), "السلع والخدمات",
    OR(B157="المنافع الاجتماعية"), "المنافع الاجتماعية",
    OR(B157="المنح"), "المنح",
    OR(B157="تعويضات العاملين"), "تعويضات العاملين",
    OR(B157="مصاريف أخرى"), "مصاريف أخرى",
    OR(B157="نفقات تمويل"), "نفقات تمويل",
    "Other"
)</f>
        <v>تعويضات العاملين</v>
      </c>
    </row>
    <row r="158" spans="1:7" x14ac:dyDescent="0.35">
      <c r="A158" t="s">
        <v>19</v>
      </c>
      <c r="B158" t="s">
        <v>50</v>
      </c>
      <c r="C158" t="s">
        <v>8</v>
      </c>
      <c r="D158">
        <v>2021</v>
      </c>
      <c r="E158" t="s">
        <v>9</v>
      </c>
      <c r="F158">
        <v>204672938100</v>
      </c>
      <c r="G158" t="str" cm="1">
        <f t="array" ref="G158">_xlfn.SWITCH(TRUE(),
    OR(B158="الأصول غير المالية"), "الأصول غير المالية",
    OR(B158="الإعانات"), "الإعانات",
    OR(B158="السلع والخدمات"), "السلع والخدمات",
    OR(B158="المنافع الاجتماعية"), "المنافع الاجتماعية",
    OR(B158="المنح"), "المنح",
    OR(B158="تعويضات العاملين"), "تعويضات العاملين",
    OR(B158="مصاريف أخرى"), "مصاريف أخرى",
    OR(B158="نفقات تمويل"), "نفقات تمويل",
    "Other"
)</f>
        <v>السلع والخدمات</v>
      </c>
    </row>
    <row r="159" spans="1:7" x14ac:dyDescent="0.35">
      <c r="A159" t="s">
        <v>19</v>
      </c>
      <c r="B159" t="s">
        <v>49</v>
      </c>
      <c r="C159" t="s">
        <v>8</v>
      </c>
      <c r="D159">
        <v>2021</v>
      </c>
      <c r="E159" t="s">
        <v>9</v>
      </c>
      <c r="F159">
        <v>27383769220</v>
      </c>
      <c r="G159" t="str" cm="1">
        <f t="array" ref="G159">_xlfn.SWITCH(TRUE(),
    OR(B159="الأصول غير المالية"), "الأصول غير المالية",
    OR(B159="الإعانات"), "الإعانات",
    OR(B159="السلع والخدمات"), "السلع والخدمات",
    OR(B159="المنافع الاجتماعية"), "المنافع الاجتماعية",
    OR(B159="المنح"), "المنح",
    OR(B159="تعويضات العاملين"), "تعويضات العاملين",
    OR(B159="مصاريف أخرى"), "مصاريف أخرى",
    OR(B159="نفقات تمويل"), "نفقات تمويل",
    "Other"
)</f>
        <v>نفقات تمويل</v>
      </c>
    </row>
    <row r="160" spans="1:7" x14ac:dyDescent="0.35">
      <c r="A160" t="s">
        <v>19</v>
      </c>
      <c r="B160" t="s">
        <v>48</v>
      </c>
      <c r="C160" t="s">
        <v>8</v>
      </c>
      <c r="D160">
        <v>2021</v>
      </c>
      <c r="E160" t="s">
        <v>9</v>
      </c>
      <c r="F160">
        <v>29859225020</v>
      </c>
      <c r="G160" t="str" cm="1">
        <f t="array" ref="G160">_xlfn.SWITCH(TRUE(),
    OR(B160="الأصول غير المالية"), "الأصول غير المالية",
    OR(B160="الإعانات"), "الإعانات",
    OR(B160="السلع والخدمات"), "السلع والخدمات",
    OR(B160="المنافع الاجتماعية"), "المنافع الاجتماعية",
    OR(B160="المنح"), "المنح",
    OR(B160="تعويضات العاملين"), "تعويضات العاملين",
    OR(B160="مصاريف أخرى"), "مصاريف أخرى",
    OR(B160="نفقات تمويل"), "نفقات تمويل",
    "Other"
)</f>
        <v>الإعانات</v>
      </c>
    </row>
    <row r="161" spans="1:7" x14ac:dyDescent="0.35">
      <c r="A161" t="s">
        <v>19</v>
      </c>
      <c r="B161" t="s">
        <v>47</v>
      </c>
      <c r="C161" t="s">
        <v>8</v>
      </c>
      <c r="D161">
        <v>2021</v>
      </c>
      <c r="E161" t="s">
        <v>9</v>
      </c>
      <c r="F161">
        <v>3483293219</v>
      </c>
      <c r="G161" t="str" cm="1">
        <f t="array" ref="G161">_xlfn.SWITCH(TRUE(),
    OR(B161="الأصول غير المالية"), "الأصول غير المالية",
    OR(B161="الإعانات"), "الإعانات",
    OR(B161="السلع والخدمات"), "السلع والخدمات",
    OR(B161="المنافع الاجتماعية"), "المنافع الاجتماعية",
    OR(B161="المنح"), "المنح",
    OR(B161="تعويضات العاملين"), "تعويضات العاملين",
    OR(B161="مصاريف أخرى"), "مصاريف أخرى",
    OR(B161="نفقات تمويل"), "نفقات تمويل",
    "Other"
)</f>
        <v>المنح</v>
      </c>
    </row>
    <row r="162" spans="1:7" x14ac:dyDescent="0.35">
      <c r="A162" t="s">
        <v>19</v>
      </c>
      <c r="B162" t="s">
        <v>46</v>
      </c>
      <c r="C162" t="s">
        <v>8</v>
      </c>
      <c r="D162">
        <v>2021</v>
      </c>
      <c r="E162" t="s">
        <v>9</v>
      </c>
      <c r="F162">
        <v>69910547320</v>
      </c>
      <c r="G162" t="str" cm="1">
        <f t="array" ref="G162">_xlfn.SWITCH(TRUE(),
    OR(B162="الأصول غير المالية"), "الأصول غير المالية",
    OR(B162="الإعانات"), "الإعانات",
    OR(B162="السلع والخدمات"), "السلع والخدمات",
    OR(B162="المنافع الاجتماعية"), "المنافع الاجتماعية",
    OR(B162="المنح"), "المنح",
    OR(B162="تعويضات العاملين"), "تعويضات العاملين",
    OR(B162="مصاريف أخرى"), "مصاريف أخرى",
    OR(B162="نفقات تمويل"), "نفقات تمويل",
    "Other"
)</f>
        <v>المنافع الاجتماعية</v>
      </c>
    </row>
    <row r="163" spans="1:7" x14ac:dyDescent="0.35">
      <c r="A163" t="s">
        <v>33</v>
      </c>
      <c r="B163" t="s">
        <v>36</v>
      </c>
      <c r="C163" t="s">
        <v>8</v>
      </c>
      <c r="D163">
        <v>2021</v>
      </c>
      <c r="E163" t="s">
        <v>9</v>
      </c>
      <c r="F163">
        <v>17847220400</v>
      </c>
      <c r="G163" t="str" cm="1">
        <f t="array" ref="G163">_xlfn.SWITCH(TRUE(),
    OR(B163="الأصول غير المالية"), "الأصول غير المالية",
    OR(B163="الإعانات"), "الإعانات",
    OR(B163="السلع والخدمات"), "السلع والخدمات",
    OR(B163="المنافع الاجتماعية"), "المنافع الاجتماعية",
    OR(B163="المنح"), "المنح",
    OR(B163="تعويضات العاملين"), "تعويضات العاملين",
    OR(B163="مصاريف أخرى"), "مصاريف أخرى",
    OR(B163="نفقات تمويل"), "نفقات تمويل",
    "Other"
)</f>
        <v>Other</v>
      </c>
    </row>
    <row r="164" spans="1:7" x14ac:dyDescent="0.35">
      <c r="A164" t="s">
        <v>19</v>
      </c>
      <c r="B164" t="s">
        <v>44</v>
      </c>
      <c r="C164" t="s">
        <v>8</v>
      </c>
      <c r="D164">
        <v>2021</v>
      </c>
      <c r="E164" t="s">
        <v>9</v>
      </c>
      <c r="F164">
        <v>90686202490</v>
      </c>
      <c r="G164" t="str" cm="1">
        <f t="array" ref="G164">_xlfn.SWITCH(TRUE(),
    OR(B164="الأصول غير المالية"), "الأصول غير المالية",
    OR(B164="الإعانات"), "الإعانات",
    OR(B164="السلع والخدمات"), "السلع والخدمات",
    OR(B164="المنافع الاجتماعية"), "المنافع الاجتماعية",
    OR(B164="المنح"), "المنح",
    OR(B164="تعويضات العاملين"), "تعويضات العاملين",
    OR(B164="مصاريف أخرى"), "مصاريف أخرى",
    OR(B164="نفقات تمويل"), "نفقات تمويل",
    "Other"
)</f>
        <v>Other</v>
      </c>
    </row>
    <row r="165" spans="1:7" x14ac:dyDescent="0.35">
      <c r="A165" t="s">
        <v>33</v>
      </c>
      <c r="B165" t="s">
        <v>37</v>
      </c>
      <c r="C165" t="s">
        <v>8</v>
      </c>
      <c r="D165">
        <v>2021</v>
      </c>
      <c r="E165" t="s">
        <v>9</v>
      </c>
      <c r="F165">
        <v>251364850100</v>
      </c>
      <c r="G165" t="str" cm="1">
        <f t="array" ref="G165">_xlfn.SWITCH(TRUE(),
    OR(B165="الأصول غير المالية"), "الأصول غير المالية",
    OR(B165="الإعانات"), "الإعانات",
    OR(B165="السلع والخدمات"), "السلع والخدمات",
    OR(B165="المنافع الاجتماعية"), "المنافع الاجتماعية",
    OR(B165="المنح"), "المنح",
    OR(B165="تعويضات العاملين"), "تعويضات العاملين",
    OR(B165="مصاريف أخرى"), "مصاريف أخرى",
    OR(B165="نفقات تمويل"), "نفقات تمويل",
    "Other"
)</f>
        <v>Other</v>
      </c>
    </row>
    <row r="166" spans="1:7" x14ac:dyDescent="0.35">
      <c r="A166" t="s">
        <v>21</v>
      </c>
      <c r="B166" t="s">
        <v>22</v>
      </c>
      <c r="C166" t="s">
        <v>8</v>
      </c>
      <c r="D166">
        <v>2022</v>
      </c>
      <c r="E166" t="s">
        <v>9</v>
      </c>
      <c r="F166">
        <v>18750000000</v>
      </c>
      <c r="G166" t="str" cm="1">
        <f t="array" ref="G166">_xlfn.SWITCH(TRUE(),
    OR(B166="الأصول غير المالية"), "الأصول غير المالية",
    OR(B166="الإعانات"), "الإعانات",
    OR(B166="السلع والخدمات"), "السلع والخدمات",
    OR(B166="المنافع الاجتماعية"), "المنافع الاجتماعية",
    OR(B166="المنح"), "المنح",
    OR(B166="تعويضات العاملين"), "تعويضات العاملين",
    OR(B166="مصاريف أخرى"), "مصاريف أخرى",
    OR(B166="نفقات تمويل"), "نفقات تمويل",
    "Other"
)</f>
        <v>Other</v>
      </c>
    </row>
    <row r="167" spans="1:7" x14ac:dyDescent="0.35">
      <c r="A167" t="s">
        <v>30</v>
      </c>
      <c r="B167" t="s">
        <v>30</v>
      </c>
      <c r="C167" t="s">
        <v>8</v>
      </c>
      <c r="D167">
        <v>2022</v>
      </c>
      <c r="E167" t="s">
        <v>9</v>
      </c>
      <c r="F167">
        <v>945069633600</v>
      </c>
      <c r="G167" t="str" cm="1">
        <f t="array" ref="G167">_xlfn.SWITCH(TRUE(),
    OR(B167="الأصول غير المالية"), "الأصول غير المالية",
    OR(B167="الإعانات"), "الإعانات",
    OR(B167="السلع والخدمات"), "السلع والخدمات",
    OR(B167="المنافع الاجتماعية"), "المنافع الاجتماعية",
    OR(B167="المنح"), "المنح",
    OR(B167="تعويضات العاملين"), "تعويضات العاملين",
    OR(B167="مصاريف أخرى"), "مصاريف أخرى",
    OR(B167="نفقات تمويل"), "نفقات تمويل",
    "Other"
)</f>
        <v>Other</v>
      </c>
    </row>
    <row r="168" spans="1:7" x14ac:dyDescent="0.35">
      <c r="A168" t="s">
        <v>19</v>
      </c>
      <c r="B168" t="s">
        <v>50</v>
      </c>
      <c r="C168" t="s">
        <v>8</v>
      </c>
      <c r="D168">
        <v>2022</v>
      </c>
      <c r="E168" t="s">
        <v>9</v>
      </c>
      <c r="F168">
        <v>258104554500</v>
      </c>
      <c r="G168" t="str" cm="1">
        <f t="array" ref="G168">_xlfn.SWITCH(TRUE(),
    OR(B168="الأصول غير المالية"), "الأصول غير المالية",
    OR(B168="الإعانات"), "الإعانات",
    OR(B168="السلع والخدمات"), "السلع والخدمات",
    OR(B168="المنافع الاجتماعية"), "المنافع الاجتماعية",
    OR(B168="المنح"), "المنح",
    OR(B168="تعويضات العاملين"), "تعويضات العاملين",
    OR(B168="مصاريف أخرى"), "مصاريف أخرى",
    OR(B168="نفقات تمويل"), "نفقات تمويل",
    "Other"
)</f>
        <v>السلع والخدمات</v>
      </c>
    </row>
    <row r="169" spans="1:7" x14ac:dyDescent="0.35">
      <c r="A169" t="s">
        <v>33</v>
      </c>
      <c r="B169" t="s">
        <v>37</v>
      </c>
      <c r="C169" t="s">
        <v>8</v>
      </c>
      <c r="D169">
        <v>2022</v>
      </c>
      <c r="E169" t="s">
        <v>9</v>
      </c>
      <c r="F169">
        <v>251455457200</v>
      </c>
      <c r="G169" t="str" cm="1">
        <f t="array" ref="G169">_xlfn.SWITCH(TRUE(),
    OR(B169="الأصول غير المالية"), "الأصول غير المالية",
    OR(B169="الإعانات"), "الإعانات",
    OR(B169="السلع والخدمات"), "السلع والخدمات",
    OR(B169="المنافع الاجتماعية"), "المنافع الاجتماعية",
    OR(B169="المنح"), "المنح",
    OR(B169="تعويضات العاملين"), "تعويضات العاملين",
    OR(B169="مصاريف أخرى"), "مصاريف أخرى",
    OR(B169="نفقات تمويل"), "نفقات تمويل",
    "Other"
)</f>
        <v>Other</v>
      </c>
    </row>
    <row r="170" spans="1:7" x14ac:dyDescent="0.35">
      <c r="A170" t="s">
        <v>19</v>
      </c>
      <c r="B170" t="s">
        <v>49</v>
      </c>
      <c r="C170" t="s">
        <v>8</v>
      </c>
      <c r="D170">
        <v>2022</v>
      </c>
      <c r="E170" t="s">
        <v>9</v>
      </c>
      <c r="F170">
        <v>30314379210</v>
      </c>
      <c r="G170" t="str" cm="1">
        <f t="array" ref="G170">_xlfn.SWITCH(TRUE(),
    OR(B170="الأصول غير المالية"), "الأصول غير المالية",
    OR(B170="الإعانات"), "الإعانات",
    OR(B170="السلع والخدمات"), "السلع والخدمات",
    OR(B170="المنافع الاجتماعية"), "المنافع الاجتماعية",
    OR(B170="المنح"), "المنح",
    OR(B170="تعويضات العاملين"), "تعويضات العاملين",
    OR(B170="مصاريف أخرى"), "مصاريف أخرى",
    OR(B170="نفقات تمويل"), "نفقات تمويل",
    "Other"
)</f>
        <v>نفقات تمويل</v>
      </c>
    </row>
    <row r="171" spans="1:7" x14ac:dyDescent="0.35">
      <c r="A171" t="s">
        <v>19</v>
      </c>
      <c r="B171" t="s">
        <v>48</v>
      </c>
      <c r="C171" t="s">
        <v>8</v>
      </c>
      <c r="D171">
        <v>2022</v>
      </c>
      <c r="E171" t="s">
        <v>9</v>
      </c>
      <c r="F171">
        <v>29648448270</v>
      </c>
      <c r="G171" t="str" cm="1">
        <f t="array" ref="G171">_xlfn.SWITCH(TRUE(),
    OR(B171="الأصول غير المالية"), "الأصول غير المالية",
    OR(B171="الإعانات"), "الإعانات",
    OR(B171="السلع والخدمات"), "السلع والخدمات",
    OR(B171="المنافع الاجتماعية"), "المنافع الاجتماعية",
    OR(B171="المنح"), "المنح",
    OR(B171="تعويضات العاملين"), "تعويضات العاملين",
    OR(B171="مصاريف أخرى"), "مصاريف أخرى",
    OR(B171="نفقات تمويل"), "نفقات تمويل",
    "Other"
)</f>
        <v>الإعانات</v>
      </c>
    </row>
    <row r="172" spans="1:7" x14ac:dyDescent="0.35">
      <c r="A172" t="s">
        <v>19</v>
      </c>
      <c r="B172" t="s">
        <v>47</v>
      </c>
      <c r="C172" t="s">
        <v>8</v>
      </c>
      <c r="D172">
        <v>2022</v>
      </c>
      <c r="E172" t="s">
        <v>9</v>
      </c>
      <c r="F172">
        <v>2961420622</v>
      </c>
      <c r="G172" t="str" cm="1">
        <f t="array" ref="G172">_xlfn.SWITCH(TRUE(),
    OR(B172="الأصول غير المالية"), "الأصول غير المالية",
    OR(B172="الإعانات"), "الإعانات",
    OR(B172="السلع والخدمات"), "السلع والخدمات",
    OR(B172="المنافع الاجتماعية"), "المنافع الاجتماعية",
    OR(B172="المنح"), "المنح",
    OR(B172="تعويضات العاملين"), "تعويضات العاملين",
    OR(B172="مصاريف أخرى"), "مصاريف أخرى",
    OR(B172="نفقات تمويل"), "نفقات تمويل",
    "Other"
)</f>
        <v>المنح</v>
      </c>
    </row>
    <row r="173" spans="1:7" x14ac:dyDescent="0.35">
      <c r="A173" t="s">
        <v>19</v>
      </c>
      <c r="B173" t="s">
        <v>46</v>
      </c>
      <c r="C173" t="s">
        <v>8</v>
      </c>
      <c r="D173">
        <v>2022</v>
      </c>
      <c r="E173" t="s">
        <v>9</v>
      </c>
      <c r="F173">
        <v>79417727670</v>
      </c>
      <c r="G173" t="str" cm="1">
        <f t="array" ref="G173">_xlfn.SWITCH(TRUE(),
    OR(B173="الأصول غير المالية"), "الأصول غير المالية",
    OR(B173="الإعانات"), "الإعانات",
    OR(B173="السلع والخدمات"), "السلع والخدمات",
    OR(B173="المنافع الاجتماعية"), "المنافع الاجتماعية",
    OR(B173="المنح"), "المنح",
    OR(B173="تعويضات العاملين"), "تعويضات العاملين",
    OR(B173="مصاريف أخرى"), "مصاريف أخرى",
    OR(B173="نفقات تمويل"), "نفقات تمويل",
    "Other"
)</f>
        <v>المنافع الاجتماعية</v>
      </c>
    </row>
    <row r="174" spans="1:7" x14ac:dyDescent="0.35">
      <c r="A174" t="s">
        <v>33</v>
      </c>
      <c r="B174" t="s">
        <v>36</v>
      </c>
      <c r="C174" t="s">
        <v>8</v>
      </c>
      <c r="D174">
        <v>2022</v>
      </c>
      <c r="E174" t="s">
        <v>9</v>
      </c>
      <c r="F174">
        <v>24480529450</v>
      </c>
      <c r="G174" t="str" cm="1">
        <f t="array" ref="G174">_xlfn.SWITCH(TRUE(),
    OR(B174="الأصول غير المالية"), "الأصول غير المالية",
    OR(B174="الإعانات"), "الإعانات",
    OR(B174="السلع والخدمات"), "السلع والخدمات",
    OR(B174="المنافع الاجتماعية"), "المنافع الاجتماعية",
    OR(B174="المنح"), "المنح",
    OR(B174="تعويضات العاملين"), "تعويضات العاملين",
    OR(B174="مصاريف أخرى"), "مصاريف أخرى",
    OR(B174="نفقات تمويل"), "نفقات تمويل",
    "Other"
)</f>
        <v>Other</v>
      </c>
    </row>
    <row r="175" spans="1:7" x14ac:dyDescent="0.35">
      <c r="A175" t="s">
        <v>31</v>
      </c>
      <c r="B175" t="s">
        <v>32</v>
      </c>
      <c r="C175" t="s">
        <v>8</v>
      </c>
      <c r="D175">
        <v>2022</v>
      </c>
      <c r="E175" t="s">
        <v>9</v>
      </c>
      <c r="F175">
        <v>4646532000000</v>
      </c>
      <c r="G175" t="str" cm="1">
        <f t="array" ref="G175">_xlfn.SWITCH(TRUE(),
    OR(B175="الأصول غير المالية"), "الأصول غير المالية",
    OR(B175="الإعانات"), "الإعانات",
    OR(B175="السلع والخدمات"), "السلع والخدمات",
    OR(B175="المنافع الاجتماعية"), "المنافع الاجتماعية",
    OR(B175="المنح"), "المنح",
    OR(B175="تعويضات العاملين"), "تعويضات العاملين",
    OR(B175="مصاريف أخرى"), "مصاريف أخرى",
    OR(B175="نفقات تمويل"), "نفقات تمويل",
    "Other"
)</f>
        <v>Other</v>
      </c>
    </row>
    <row r="176" spans="1:7" x14ac:dyDescent="0.35">
      <c r="A176" t="s">
        <v>19</v>
      </c>
      <c r="B176" t="s">
        <v>44</v>
      </c>
      <c r="C176" t="s">
        <v>8</v>
      </c>
      <c r="D176">
        <v>2022</v>
      </c>
      <c r="E176" t="s">
        <v>9</v>
      </c>
      <c r="F176">
        <v>107174250200</v>
      </c>
      <c r="G176" t="str" cm="1">
        <f t="array" ref="G176">_xlfn.SWITCH(TRUE(),
    OR(B176="الأصول غير المالية"), "الأصول غير المالية",
    OR(B176="الإعانات"), "الإعانات",
    OR(B176="السلع والخدمات"), "السلع والخدمات",
    OR(B176="المنافع الاجتماعية"), "المنافع الاجتماعية",
    OR(B176="المنح"), "المنح",
    OR(B176="تعويضات العاملين"), "تعويضات العاملين",
    OR(B176="مصاريف أخرى"), "مصاريف أخرى",
    OR(B176="نفقات تمويل"), "نفقات تمويل",
    "Other"
)</f>
        <v>Other</v>
      </c>
    </row>
    <row r="177" spans="1:7" x14ac:dyDescent="0.35">
      <c r="A177" t="s">
        <v>38</v>
      </c>
      <c r="B177" t="s">
        <v>39</v>
      </c>
      <c r="C177" t="s">
        <v>8</v>
      </c>
      <c r="D177">
        <v>2022</v>
      </c>
      <c r="E177" t="s">
        <v>9</v>
      </c>
      <c r="F177">
        <v>411000000000</v>
      </c>
      <c r="G177" t="str" cm="1">
        <f t="array" ref="G177">_xlfn.SWITCH(TRUE(),
    OR(B177="الأصول غير المالية"), "الأصول غير المالية",
    OR(B177="الإعانات"), "الإعانات",
    OR(B177="السلع والخدمات"), "السلع والخدمات",
    OR(B177="المنافع الاجتماعية"), "المنافع الاجتماعية",
    OR(B177="المنح"), "المنح",
    OR(B177="تعويضات العاملين"), "تعويضات العاملين",
    OR(B177="مصاريف أخرى"), "مصاريف أخرى",
    OR(B177="نفقات تمويل"), "نفقات تمويل",
    "Other"
)</f>
        <v>Other</v>
      </c>
    </row>
    <row r="178" spans="1:7" x14ac:dyDescent="0.35">
      <c r="A178" t="s">
        <v>33</v>
      </c>
      <c r="B178" t="s">
        <v>35</v>
      </c>
      <c r="C178" t="s">
        <v>8</v>
      </c>
      <c r="D178">
        <v>2022</v>
      </c>
      <c r="E178" t="s">
        <v>9</v>
      </c>
      <c r="F178">
        <v>18749214350</v>
      </c>
      <c r="G178" t="str" cm="1">
        <f t="array" ref="G178">_xlfn.SWITCH(TRUE(),
    OR(B178="الأصول غير المالية"), "الأصول غير المالية",
    OR(B178="الإعانات"), "الإعانات",
    OR(B178="السلع والخدمات"), "السلع والخدمات",
    OR(B178="المنافع الاجتماعية"), "المنافع الاجتماعية",
    OR(B178="المنح"), "المنح",
    OR(B178="تعويضات العاملين"), "تعويضات العاملين",
    OR(B178="مصاريف أخرى"), "مصاريف أخرى",
    OR(B178="نفقات تمويل"), "نفقات تمويل",
    "Other"
)</f>
        <v>Other</v>
      </c>
    </row>
    <row r="179" spans="1:7" x14ac:dyDescent="0.35">
      <c r="A179" t="s">
        <v>45</v>
      </c>
      <c r="B179" t="s">
        <v>45</v>
      </c>
      <c r="C179" t="s">
        <v>8</v>
      </c>
      <c r="D179">
        <v>2022</v>
      </c>
      <c r="E179" t="s">
        <v>9</v>
      </c>
      <c r="F179">
        <v>1164308815000</v>
      </c>
      <c r="G179" t="str" cm="1">
        <f t="array" ref="G179">_xlfn.SWITCH(TRUE(),
    OR(B179="الأصول غير المالية"), "الأصول غير المالية",
    OR(B179="الإعانات"), "الإعانات",
    OR(B179="السلع والخدمات"), "السلع والخدمات",
    OR(B179="المنافع الاجتماعية"), "المنافع الاجتماعية",
    OR(B179="المنح"), "المنح",
    OR(B179="تعويضات العاملين"), "تعويضات العاملين",
    OR(B179="مصاريف أخرى"), "مصاريف أخرى",
    OR(B179="نفقات تمويل"), "نفقات تمويل",
    "Other"
)</f>
        <v>Other</v>
      </c>
    </row>
    <row r="180" spans="1:7" x14ac:dyDescent="0.35">
      <c r="A180" t="s">
        <v>24</v>
      </c>
      <c r="B180" t="s">
        <v>25</v>
      </c>
      <c r="C180" t="s">
        <v>8</v>
      </c>
      <c r="D180">
        <v>2022</v>
      </c>
      <c r="E180" t="s">
        <v>9</v>
      </c>
      <c r="F180">
        <v>318364242600</v>
      </c>
      <c r="G180" t="str" cm="1">
        <f t="array" ref="G180">_xlfn.SWITCH(TRUE(),
    OR(B180="الأصول غير المالية"), "الأصول غير المالية",
    OR(B180="الإعانات"), "الإعانات",
    OR(B180="السلع والخدمات"), "السلع والخدمات",
    OR(B180="المنافع الاجتماعية"), "المنافع الاجتماعية",
    OR(B180="المنح"), "المنح",
    OR(B180="تعويضات العاملين"), "تعويضات العاملين",
    OR(B180="مصاريف أخرى"), "مصاريف أخرى",
    OR(B180="نفقات تمويل"), "نفقات تمويل",
    "Other"
)</f>
        <v>Other</v>
      </c>
    </row>
    <row r="181" spans="1:7" x14ac:dyDescent="0.35">
      <c r="A181" t="s">
        <v>21</v>
      </c>
      <c r="B181" t="s">
        <v>23</v>
      </c>
      <c r="C181" t="s">
        <v>8</v>
      </c>
      <c r="D181">
        <v>2022</v>
      </c>
      <c r="E181" t="s">
        <v>9</v>
      </c>
      <c r="F181">
        <v>106650000000</v>
      </c>
      <c r="G181" t="str" cm="1">
        <f t="array" ref="G181">_xlfn.SWITCH(TRUE(),
    OR(B181="الأصول غير المالية"), "الأصول غير المالية",
    OR(B181="الإعانات"), "الإعانات",
    OR(B181="السلع والخدمات"), "السلع والخدمات",
    OR(B181="المنافع الاجتماعية"), "المنافع الاجتماعية",
    OR(B181="المنح"), "المنح",
    OR(B181="تعويضات العاملين"), "تعويضات العاملين",
    OR(B181="مصاريف أخرى"), "مصاريف أخرى",
    OR(B181="نفقات تمويل"), "نفقات تمويل",
    "Other"
)</f>
        <v>Other</v>
      </c>
    </row>
    <row r="182" spans="1:7" x14ac:dyDescent="0.35">
      <c r="A182" t="s">
        <v>38</v>
      </c>
      <c r="B182" t="s">
        <v>40</v>
      </c>
      <c r="C182" t="s">
        <v>8</v>
      </c>
      <c r="D182">
        <v>2022</v>
      </c>
      <c r="E182" t="s">
        <v>9</v>
      </c>
      <c r="F182">
        <v>857272312900</v>
      </c>
      <c r="G182" t="str" cm="1">
        <f t="array" ref="G182">_xlfn.SWITCH(TRUE(),
    OR(B182="الأصول غير المالية"), "الأصول غير المالية",
    OR(B182="الإعانات"), "الإعانات",
    OR(B182="السلع والخدمات"), "السلع والخدمات",
    OR(B182="المنافع الاجتماعية"), "المنافع الاجتماعية",
    OR(B182="المنح"), "المنح",
    OR(B182="تعويضات العاملين"), "تعويضات العاملين",
    OR(B182="مصاريف أخرى"), "مصاريف أخرى",
    OR(B182="نفقات تمويل"), "نفقات تمويل",
    "Other"
)</f>
        <v>Other</v>
      </c>
    </row>
    <row r="183" spans="1:7" x14ac:dyDescent="0.35">
      <c r="A183" t="s">
        <v>26</v>
      </c>
      <c r="B183" t="s">
        <v>27</v>
      </c>
      <c r="C183" t="s">
        <v>8</v>
      </c>
      <c r="D183">
        <v>2022</v>
      </c>
      <c r="E183" t="s">
        <v>9</v>
      </c>
      <c r="F183">
        <v>990000000000</v>
      </c>
      <c r="G183" t="str" cm="1">
        <f t="array" ref="G183">_xlfn.SWITCH(TRUE(),
    OR(B183="الأصول غير المالية"), "الأصول غير المالية",
    OR(B183="الإعانات"), "الإعانات",
    OR(B183="السلع والخدمات"), "السلع والخدمات",
    OR(B183="المنافع الاجتماعية"), "المنافع الاجتماعية",
    OR(B183="المنح"), "المنح",
    OR(B183="تعويضات العاملين"), "تعويضات العاملين",
    OR(B183="مصاريف أخرى"), "مصاريف أخرى",
    OR(B183="نفقات تمويل"), "نفقات تمويل",
    "Other"
)</f>
        <v>Other</v>
      </c>
    </row>
    <row r="184" spans="1:7" x14ac:dyDescent="0.35">
      <c r="A184" t="s">
        <v>41</v>
      </c>
      <c r="B184" t="s">
        <v>41</v>
      </c>
      <c r="C184" t="s">
        <v>8</v>
      </c>
      <c r="D184">
        <v>2022</v>
      </c>
      <c r="E184" t="s">
        <v>9</v>
      </c>
      <c r="F184">
        <v>1267764494000</v>
      </c>
      <c r="G184" t="str" cm="1">
        <f t="array" ref="G184">_xlfn.SWITCH(TRUE(),
    OR(B184="الأصول غير المالية"), "الأصول غير المالية",
    OR(B184="الإعانات"), "الإعانات",
    OR(B184="السلع والخدمات"), "السلع والخدمات",
    OR(B184="المنافع الاجتماعية"), "المنافع الاجتماعية",
    OR(B184="المنح"), "المنح",
    OR(B184="تعويضات العاملين"), "تعويضات العاملين",
    OR(B184="مصاريف أخرى"), "مصاريف أخرى",
    OR(B184="نفقات تمويل"), "نفقات تمويل",
    "Other"
)</f>
        <v>Other</v>
      </c>
    </row>
    <row r="185" spans="1:7" x14ac:dyDescent="0.35">
      <c r="A185" t="s">
        <v>33</v>
      </c>
      <c r="B185" t="s">
        <v>34</v>
      </c>
      <c r="C185" t="s">
        <v>8</v>
      </c>
      <c r="D185">
        <v>2022</v>
      </c>
      <c r="E185" t="s">
        <v>9</v>
      </c>
      <c r="F185">
        <v>28409000000</v>
      </c>
      <c r="G185" t="str" cm="1">
        <f t="array" ref="G185">_xlfn.SWITCH(TRUE(),
    OR(B185="الأصول غير المالية"), "الأصول غير المالية",
    OR(B185="الإعانات"), "الإعانات",
    OR(B185="السلع والخدمات"), "السلع والخدمات",
    OR(B185="المنافع الاجتماعية"), "المنافع الاجتماعية",
    OR(B185="المنح"), "المنح",
    OR(B185="تعويضات العاملين"), "تعويضات العاملين",
    OR(B185="مصاريف أخرى"), "مصاريف أخرى",
    OR(B185="نفقات تمويل"), "نفقات تمويل",
    "Other"
)</f>
        <v>Other</v>
      </c>
    </row>
    <row r="186" spans="1:7" x14ac:dyDescent="0.35">
      <c r="A186" t="s">
        <v>28</v>
      </c>
      <c r="B186" t="s">
        <v>51</v>
      </c>
      <c r="C186" t="s">
        <v>8</v>
      </c>
      <c r="D186">
        <v>2022</v>
      </c>
      <c r="E186" t="s">
        <v>9</v>
      </c>
      <c r="F186">
        <v>103854880200</v>
      </c>
      <c r="G186" t="str" cm="1">
        <f t="array" ref="G186">_xlfn.SWITCH(TRUE(),
    OR(B186="الأصول غير المالية"), "الأصول غير المالية",
    OR(B186="الإعانات"), "الإعانات",
    OR(B186="السلع والخدمات"), "السلع والخدمات",
    OR(B186="المنافع الاجتماعية"), "المنافع الاجتماعية",
    OR(B186="المنح"), "المنح",
    OR(B186="تعويضات العاملين"), "تعويضات العاملين",
    OR(B186="مصاريف أخرى"), "مصاريف أخرى",
    OR(B186="نفقات تمويل"), "نفقات تمويل",
    "Other"
)</f>
        <v>Other</v>
      </c>
    </row>
    <row r="187" spans="1:7" x14ac:dyDescent="0.35">
      <c r="A187" t="s">
        <v>42</v>
      </c>
      <c r="B187" t="s">
        <v>43</v>
      </c>
      <c r="C187" t="s">
        <v>8</v>
      </c>
      <c r="D187">
        <v>2022</v>
      </c>
      <c r="E187" t="s">
        <v>9</v>
      </c>
      <c r="F187">
        <v>143463693800</v>
      </c>
      <c r="G187" t="str" cm="1">
        <f t="array" ref="G187">_xlfn.SWITCH(TRUE(),
    OR(B187="الأصول غير المالية"), "الأصول غير المالية",
    OR(B187="الإعانات"), "الإعانات",
    OR(B187="السلع والخدمات"), "السلع والخدمات",
    OR(B187="المنافع الاجتماعية"), "المنافع الاجتماعية",
    OR(B187="المنح"), "المنح",
    OR(B187="تعويضات العاملين"), "تعويضات العاملين",
    OR(B187="مصاريف أخرى"), "مصاريف أخرى",
    OR(B187="نفقات تمويل"), "نفقات تمويل",
    "Other"
)</f>
        <v>الأصول غير المالية</v>
      </c>
    </row>
    <row r="188" spans="1:7" x14ac:dyDescent="0.35">
      <c r="A188" t="s">
        <v>19</v>
      </c>
      <c r="B188" t="s">
        <v>20</v>
      </c>
      <c r="C188" t="s">
        <v>8</v>
      </c>
      <c r="D188">
        <v>2022</v>
      </c>
      <c r="E188" t="s">
        <v>9</v>
      </c>
      <c r="F188">
        <v>513224340600</v>
      </c>
      <c r="G188" t="str" cm="1">
        <f t="array" ref="G188">_xlfn.SWITCH(TRUE(),
    OR(B188="الأصول غير المالية"), "الأصول غير المالية",
    OR(B188="الإعانات"), "الإعانات",
    OR(B188="السلع والخدمات"), "السلع والخدمات",
    OR(B188="المنافع الاجتماعية"), "المنافع الاجتماعية",
    OR(B188="المنح"), "المنح",
    OR(B188="تعويضات العاملين"), "تعويضات العاملين",
    OR(B188="مصاريف أخرى"), "مصاريف أخرى",
    OR(B188="نفقات تمويل"), "نفقات تمويل",
    "Other"
)</f>
        <v>تعويضات العاملين</v>
      </c>
    </row>
    <row r="189" spans="1:7" x14ac:dyDescent="0.35">
      <c r="A189" t="s">
        <v>28</v>
      </c>
      <c r="B189" t="s">
        <v>29</v>
      </c>
      <c r="C189" t="s">
        <v>8</v>
      </c>
      <c r="D189">
        <v>2023</v>
      </c>
      <c r="E189" t="s">
        <v>9</v>
      </c>
      <c r="F189">
        <v>-80946491170</v>
      </c>
      <c r="G189" t="str" cm="1">
        <f t="array" ref="G189">_xlfn.SWITCH(TRUE(),
    OR(B189="الأصول غير المالية"), "الأصول غير المالية",
    OR(B189="الإعانات"), "الإعانات",
    OR(B189="السلع والخدمات"), "السلع والخدمات",
    OR(B189="المنافع الاجتماعية"), "المنافع الاجتماعية",
    OR(B189="المنح"), "المنح",
    OR(B189="تعويضات العاملين"), "تعويضات العاملين",
    OR(B189="مصاريف أخرى"), "مصاريف أخرى",
    OR(B189="نفقات تمويل"), "نفقات تمويل",
    "Other"
)</f>
        <v>Other</v>
      </c>
    </row>
    <row r="190" spans="1:7" x14ac:dyDescent="0.35">
      <c r="A190" t="s">
        <v>41</v>
      </c>
      <c r="B190" t="s">
        <v>41</v>
      </c>
      <c r="C190" t="s">
        <v>8</v>
      </c>
      <c r="D190">
        <v>2023</v>
      </c>
      <c r="E190" t="s">
        <v>9</v>
      </c>
      <c r="F190">
        <v>1212289601000</v>
      </c>
      <c r="G190" t="str" cm="1">
        <f t="array" ref="G190">_xlfn.SWITCH(TRUE(),
    OR(B190="الأصول غير المالية"), "الأصول غير المالية",
    OR(B190="الإعانات"), "الإعانات",
    OR(B190="السلع والخدمات"), "السلع والخدمات",
    OR(B190="المنافع الاجتماعية"), "المنافع الاجتماعية",
    OR(B190="المنح"), "المنح",
    OR(B190="تعويضات العاملين"), "تعويضات العاملين",
    OR(B190="مصاريف أخرى"), "مصاريف أخرى",
    OR(B190="نفقات تمويل"), "نفقات تمويل",
    "Other"
)</f>
        <v>Other</v>
      </c>
    </row>
    <row r="191" spans="1:7" x14ac:dyDescent="0.35">
      <c r="A191" t="s">
        <v>30</v>
      </c>
      <c r="B191" t="s">
        <v>30</v>
      </c>
      <c r="C191" t="s">
        <v>8</v>
      </c>
      <c r="D191">
        <v>2023</v>
      </c>
      <c r="E191" t="s">
        <v>9</v>
      </c>
      <c r="F191">
        <v>855652378300</v>
      </c>
      <c r="G191" t="str" cm="1">
        <f t="array" ref="G191">_xlfn.SWITCH(TRUE(),
    OR(B191="الأصول غير المالية"), "الأصول غير المالية",
    OR(B191="الإعانات"), "الإعانات",
    OR(B191="السلع والخدمات"), "السلع والخدمات",
    OR(B191="المنافع الاجتماعية"), "المنافع الاجتماعية",
    OR(B191="المنح"), "المنح",
    OR(B191="تعويضات العاملين"), "تعويضات العاملين",
    OR(B191="مصاريف أخرى"), "مصاريف أخرى",
    OR(B191="نفقات تمويل"), "نفقات تمويل",
    "Other"
)</f>
        <v>Other</v>
      </c>
    </row>
    <row r="192" spans="1:7" x14ac:dyDescent="0.35">
      <c r="A192" t="s">
        <v>42</v>
      </c>
      <c r="B192" t="s">
        <v>43</v>
      </c>
      <c r="C192" t="s">
        <v>8</v>
      </c>
      <c r="D192">
        <v>2023</v>
      </c>
      <c r="E192" t="s">
        <v>9</v>
      </c>
      <c r="F192">
        <v>186496360200</v>
      </c>
      <c r="G192" t="str" cm="1">
        <f t="array" ref="G192">_xlfn.SWITCH(TRUE(),
    OR(B192="الأصول غير المالية"), "الأصول غير المالية",
    OR(B192="الإعانات"), "الإعانات",
    OR(B192="السلع والخدمات"), "السلع والخدمات",
    OR(B192="المنافع الاجتماعية"), "المنافع الاجتماعية",
    OR(B192="المنح"), "المنح",
    OR(B192="تعويضات العاملين"), "تعويضات العاملين",
    OR(B192="مصاريف أخرى"), "مصاريف أخرى",
    OR(B192="نفقات تمويل"), "نفقات تمويل",
    "Other"
)</f>
        <v>الأصول غير المالية</v>
      </c>
    </row>
    <row r="193" spans="1:7" x14ac:dyDescent="0.35">
      <c r="A193" t="s">
        <v>21</v>
      </c>
      <c r="B193" t="s">
        <v>23</v>
      </c>
      <c r="C193" t="s">
        <v>8</v>
      </c>
      <c r="D193">
        <v>2023</v>
      </c>
      <c r="E193" t="s">
        <v>9</v>
      </c>
      <c r="F193">
        <v>87982516330</v>
      </c>
      <c r="G193" t="str" cm="1">
        <f t="array" ref="G193">_xlfn.SWITCH(TRUE(),
    OR(B193="الأصول غير المالية"), "الأصول غير المالية",
    OR(B193="الإعانات"), "الإعانات",
    OR(B193="السلع والخدمات"), "السلع والخدمات",
    OR(B193="المنافع الاجتماعية"), "المنافع الاجتماعية",
    OR(B193="المنح"), "المنح",
    OR(B193="تعويضات العاملين"), "تعويضات العاملين",
    OR(B193="مصاريف أخرى"), "مصاريف أخرى",
    OR(B193="نفقات تمويل"), "نفقات تمويل",
    "Other"
)</f>
        <v>Other</v>
      </c>
    </row>
    <row r="194" spans="1:7" x14ac:dyDescent="0.35">
      <c r="A194" t="s">
        <v>33</v>
      </c>
      <c r="B194" t="s">
        <v>34</v>
      </c>
      <c r="C194" t="s">
        <v>8</v>
      </c>
      <c r="D194">
        <v>2023</v>
      </c>
      <c r="E194" t="s">
        <v>9</v>
      </c>
      <c r="F194">
        <v>33373666160</v>
      </c>
      <c r="G194" t="str" cm="1">
        <f t="array" ref="G194">_xlfn.SWITCH(TRUE(),
    OR(B194="الأصول غير المالية"), "الأصول غير المالية",
    OR(B194="الإعانات"), "الإعانات",
    OR(B194="السلع والخدمات"), "السلع والخدمات",
    OR(B194="المنافع الاجتماعية"), "المنافع الاجتماعية",
    OR(B194="المنح"), "المنح",
    OR(B194="تعويضات العاملين"), "تعويضات العاملين",
    OR(B194="مصاريف أخرى"), "مصاريف أخرى",
    OR(B194="نفقات تمويل"), "نفقات تمويل",
    "Other"
)</f>
        <v>Other</v>
      </c>
    </row>
    <row r="195" spans="1:7" x14ac:dyDescent="0.35">
      <c r="A195" t="s">
        <v>45</v>
      </c>
      <c r="B195" t="s">
        <v>45</v>
      </c>
      <c r="C195" t="s">
        <v>8</v>
      </c>
      <c r="D195">
        <v>2023</v>
      </c>
      <c r="E195" t="s">
        <v>9</v>
      </c>
      <c r="F195">
        <v>1293236092000</v>
      </c>
      <c r="G195" t="str" cm="1">
        <f t="array" ref="G195">_xlfn.SWITCH(TRUE(),
    OR(B195="الأصول غير المالية"), "الأصول غير المالية",
    OR(B195="الإعانات"), "الإعانات",
    OR(B195="السلع والخدمات"), "السلع والخدمات",
    OR(B195="المنافع الاجتماعية"), "المنافع الاجتماعية",
    OR(B195="المنح"), "المنح",
    OR(B195="تعويضات العاملين"), "تعويضات العاملين",
    OR(B195="مصاريف أخرى"), "مصاريف أخرى",
    OR(B195="نفقات تمويل"), "نفقات تمويل",
    "Other"
)</f>
        <v>Other</v>
      </c>
    </row>
    <row r="196" spans="1:7" x14ac:dyDescent="0.35">
      <c r="A196" t="s">
        <v>19</v>
      </c>
      <c r="B196" t="s">
        <v>44</v>
      </c>
      <c r="C196" t="s">
        <v>8</v>
      </c>
      <c r="D196">
        <v>2023</v>
      </c>
      <c r="E196" t="s">
        <v>9</v>
      </c>
      <c r="F196">
        <v>103538486900</v>
      </c>
      <c r="G196" t="str" cm="1">
        <f t="array" ref="G196">_xlfn.SWITCH(TRUE(),
    OR(B196="الأصول غير المالية"), "الأصول غير المالية",
    OR(B196="الإعانات"), "الإعانات",
    OR(B196="السلع والخدمات"), "السلع والخدمات",
    OR(B196="المنافع الاجتماعية"), "المنافع الاجتماعية",
    OR(B196="المنح"), "المنح",
    OR(B196="تعويضات العاملين"), "تعويضات العاملين",
    OR(B196="مصاريف أخرى"), "مصاريف أخرى",
    OR(B196="نفقات تمويل"), "نفقات تمويل",
    "Other"
)</f>
        <v>Other</v>
      </c>
    </row>
    <row r="197" spans="1:7" x14ac:dyDescent="0.35">
      <c r="A197" t="s">
        <v>21</v>
      </c>
      <c r="B197" t="s">
        <v>22</v>
      </c>
      <c r="C197" t="s">
        <v>8</v>
      </c>
      <c r="D197">
        <v>2023</v>
      </c>
      <c r="E197" t="s">
        <v>9</v>
      </c>
      <c r="F197">
        <v>101000000000</v>
      </c>
      <c r="G197" t="str" cm="1">
        <f t="array" ref="G197">_xlfn.SWITCH(TRUE(),
    OR(B197="الأصول غير المالية"), "الأصول غير المالية",
    OR(B197="الإعانات"), "الإعانات",
    OR(B197="السلع والخدمات"), "السلع والخدمات",
    OR(B197="المنافع الاجتماعية"), "المنافع الاجتماعية",
    OR(B197="المنح"), "المنح",
    OR(B197="تعويضات العاملين"), "تعويضات العاملين",
    OR(B197="مصاريف أخرى"), "مصاريف أخرى",
    OR(B197="نفقات تمويل"), "نفقات تمويل",
    "Other"
)</f>
        <v>Other</v>
      </c>
    </row>
    <row r="198" spans="1:7" x14ac:dyDescent="0.35">
      <c r="A198" t="s">
        <v>38</v>
      </c>
      <c r="B198" t="s">
        <v>40</v>
      </c>
      <c r="C198" t="s">
        <v>8</v>
      </c>
      <c r="D198">
        <v>2023</v>
      </c>
      <c r="E198" t="s">
        <v>9</v>
      </c>
      <c r="F198">
        <v>754561766100</v>
      </c>
      <c r="G198" t="str" cm="1">
        <f t="array" ref="G198">_xlfn.SWITCH(TRUE(),
    OR(B198="الأصول غير المالية"), "الأصول غير المالية",
    OR(B198="الإعانات"), "الإعانات",
    OR(B198="السلع والخدمات"), "السلع والخدمات",
    OR(B198="المنافع الاجتماعية"), "المنافع الاجتماعية",
    OR(B198="المنح"), "المنح",
    OR(B198="تعويضات العاملين"), "تعويضات العاملين",
    OR(B198="مصاريف أخرى"), "مصاريف أخرى",
    OR(B198="نفقات تمويل"), "نفقات تمويل",
    "Other"
)</f>
        <v>Other</v>
      </c>
    </row>
    <row r="199" spans="1:7" x14ac:dyDescent="0.35">
      <c r="A199" t="s">
        <v>31</v>
      </c>
      <c r="B199" t="s">
        <v>32</v>
      </c>
      <c r="C199" t="s">
        <v>8</v>
      </c>
      <c r="D199">
        <v>2023</v>
      </c>
      <c r="E199" t="s">
        <v>9</v>
      </c>
      <c r="F199">
        <v>4569693000000</v>
      </c>
      <c r="G199" t="str" cm="1">
        <f t="array" ref="G199">_xlfn.SWITCH(TRUE(),
    OR(B199="الأصول غير المالية"), "الأصول غير المالية",
    OR(B199="الإعانات"), "الإعانات",
    OR(B199="السلع والخدمات"), "السلع والخدمات",
    OR(B199="المنافع الاجتماعية"), "المنافع الاجتماعية",
    OR(B199="المنح"), "المنح",
    OR(B199="تعويضات العاملين"), "تعويضات العاملين",
    OR(B199="مصاريف أخرى"), "مصاريف أخرى",
    OR(B199="نفقات تمويل"), "نفقات تمويل",
    "Other"
)</f>
        <v>Other</v>
      </c>
    </row>
    <row r="200" spans="1:7" x14ac:dyDescent="0.35">
      <c r="A200" t="s">
        <v>19</v>
      </c>
      <c r="B200" t="s">
        <v>20</v>
      </c>
      <c r="C200" t="s">
        <v>8</v>
      </c>
      <c r="D200">
        <v>2023</v>
      </c>
      <c r="E200" t="s">
        <v>9</v>
      </c>
      <c r="F200">
        <v>537318487799.99994</v>
      </c>
      <c r="G200" t="str" cm="1">
        <f t="array" ref="G200">_xlfn.SWITCH(TRUE(),
    OR(B200="الأصول غير المالية"), "الأصول غير المالية",
    OR(B200="الإعانات"), "الإعانات",
    OR(B200="السلع والخدمات"), "السلع والخدمات",
    OR(B200="المنافع الاجتماعية"), "المنافع الاجتماعية",
    OR(B200="المنح"), "المنح",
    OR(B200="تعويضات العاملين"), "تعويضات العاملين",
    OR(B200="مصاريف أخرى"), "مصاريف أخرى",
    OR(B200="نفقات تمويل"), "نفقات تمويل",
    "Other"
)</f>
        <v>تعويضات العاملين</v>
      </c>
    </row>
    <row r="201" spans="1:7" x14ac:dyDescent="0.35">
      <c r="A201" t="s">
        <v>24</v>
      </c>
      <c r="B201" t="s">
        <v>25</v>
      </c>
      <c r="C201" t="s">
        <v>8</v>
      </c>
      <c r="D201">
        <v>2023</v>
      </c>
      <c r="E201" t="s">
        <v>9</v>
      </c>
      <c r="F201">
        <v>390000000000</v>
      </c>
      <c r="G201" t="str" cm="1">
        <f t="array" ref="G201">_xlfn.SWITCH(TRUE(),
    OR(B201="الأصول غير المالية"), "الأصول غير المالية",
    OR(B201="الإعانات"), "الإعانات",
    OR(B201="السلع والخدمات"), "السلع والخدمات",
    OR(B201="المنافع الاجتماعية"), "المنافع الاجتماعية",
    OR(B201="المنح"), "المنح",
    OR(B201="تعويضات العاملين"), "تعويضات العاملين",
    OR(B201="مصاريف أخرى"), "مصاريف أخرى",
    OR(B201="نفقات تمويل"), "نفقات تمويل",
    "Other"
)</f>
        <v>Other</v>
      </c>
    </row>
    <row r="202" spans="1:7" x14ac:dyDescent="0.35">
      <c r="A202" t="s">
        <v>33</v>
      </c>
      <c r="B202" t="s">
        <v>35</v>
      </c>
      <c r="C202" t="s">
        <v>8</v>
      </c>
      <c r="D202">
        <v>2023</v>
      </c>
      <c r="E202" t="s">
        <v>9</v>
      </c>
      <c r="F202">
        <v>22149128950</v>
      </c>
      <c r="G202" t="str" cm="1">
        <f t="array" ref="G202">_xlfn.SWITCH(TRUE(),
    OR(B202="الأصول غير المالية"), "الأصول غير المالية",
    OR(B202="الإعانات"), "الإعانات",
    OR(B202="السلع والخدمات"), "السلع والخدمات",
    OR(B202="المنافع الاجتماعية"), "المنافع الاجتماعية",
    OR(B202="المنح"), "المنح",
    OR(B202="تعويضات العاملين"), "تعويضات العاملين",
    OR(B202="مصاريف أخرى"), "مصاريف أخرى",
    OR(B202="نفقات تمويل"), "نفقات تمويل",
    "Other"
)</f>
        <v>Other</v>
      </c>
    </row>
    <row r="203" spans="1:7" x14ac:dyDescent="0.35">
      <c r="A203" t="s">
        <v>38</v>
      </c>
      <c r="B203" t="s">
        <v>39</v>
      </c>
      <c r="C203" t="s">
        <v>8</v>
      </c>
      <c r="D203">
        <v>2023</v>
      </c>
      <c r="E203" t="s">
        <v>9</v>
      </c>
      <c r="F203">
        <v>458000000000</v>
      </c>
      <c r="G203" t="str" cm="1">
        <f t="array" ref="G203">_xlfn.SWITCH(TRUE(),
    OR(B203="الأصول غير المالية"), "الأصول غير المالية",
    OR(B203="الإعانات"), "الإعانات",
    OR(B203="السلع والخدمات"), "السلع والخدمات",
    OR(B203="المنافع الاجتماعية"), "المنافع الاجتماعية",
    OR(B203="المنح"), "المنح",
    OR(B203="تعويضات العاملين"), "تعويضات العاملين",
    OR(B203="مصاريف أخرى"), "مصاريف أخرى",
    OR(B203="نفقات تمويل"), "نفقات تمويل",
    "Other"
)</f>
        <v>Other</v>
      </c>
    </row>
    <row r="204" spans="1:7" x14ac:dyDescent="0.35">
      <c r="A204" t="s">
        <v>19</v>
      </c>
      <c r="B204" t="s">
        <v>50</v>
      </c>
      <c r="C204" t="s">
        <v>8</v>
      </c>
      <c r="D204">
        <v>2023</v>
      </c>
      <c r="E204" t="s">
        <v>9</v>
      </c>
      <c r="F204">
        <v>303390367300</v>
      </c>
      <c r="G204" t="str" cm="1">
        <f t="array" ref="G204">_xlfn.SWITCH(TRUE(),
    OR(B204="الأصول غير المالية"), "الأصول غير المالية",
    OR(B204="الإعانات"), "الإعانات",
    OR(B204="السلع والخدمات"), "السلع والخدمات",
    OR(B204="المنافع الاجتماعية"), "المنافع الاجتماعية",
    OR(B204="المنح"), "المنح",
    OR(B204="تعويضات العاملين"), "تعويضات العاملين",
    OR(B204="مصاريف أخرى"), "مصاريف أخرى",
    OR(B204="نفقات تمويل"), "نفقات تمويل",
    "Other"
)</f>
        <v>السلع والخدمات</v>
      </c>
    </row>
    <row r="205" spans="1:7" x14ac:dyDescent="0.35">
      <c r="A205" t="s">
        <v>19</v>
      </c>
      <c r="B205" t="s">
        <v>46</v>
      </c>
      <c r="C205" t="s">
        <v>8</v>
      </c>
      <c r="D205">
        <v>2023</v>
      </c>
      <c r="E205" t="s">
        <v>9</v>
      </c>
      <c r="F205">
        <v>97006900000</v>
      </c>
      <c r="G205" t="str" cm="1">
        <f t="array" ref="G205">_xlfn.SWITCH(TRUE(),
    OR(B205="الأصول غير المالية"), "الأصول غير المالية",
    OR(B205="الإعانات"), "الإعانات",
    OR(B205="السلع والخدمات"), "السلع والخدمات",
    OR(B205="المنافع الاجتماعية"), "المنافع الاجتماعية",
    OR(B205="المنح"), "المنح",
    OR(B205="تعويضات العاملين"), "تعويضات العاملين",
    OR(B205="مصاريف أخرى"), "مصاريف أخرى",
    OR(B205="نفقات تمويل"), "نفقات تمويل",
    "Other"
)</f>
        <v>المنافع الاجتماعية</v>
      </c>
    </row>
    <row r="206" spans="1:7" x14ac:dyDescent="0.35">
      <c r="A206" t="s">
        <v>33</v>
      </c>
      <c r="B206" t="s">
        <v>37</v>
      </c>
      <c r="C206" t="s">
        <v>8</v>
      </c>
      <c r="D206">
        <v>2023</v>
      </c>
      <c r="E206" t="s">
        <v>9</v>
      </c>
      <c r="F206">
        <v>262475982900.00003</v>
      </c>
      <c r="G206" t="str" cm="1">
        <f t="array" ref="G206">_xlfn.SWITCH(TRUE(),
    OR(B206="الأصول غير المالية"), "الأصول غير المالية",
    OR(B206="الإعانات"), "الإعانات",
    OR(B206="السلع والخدمات"), "السلع والخدمات",
    OR(B206="المنافع الاجتماعية"), "المنافع الاجتماعية",
    OR(B206="المنح"), "المنح",
    OR(B206="تعويضات العاملين"), "تعويضات العاملين",
    OR(B206="مصاريف أخرى"), "مصاريف أخرى",
    OR(B206="نفقات تمويل"), "نفقات تمويل",
    "Other"
)</f>
        <v>Other</v>
      </c>
    </row>
    <row r="207" spans="1:7" x14ac:dyDescent="0.35">
      <c r="A207" t="s">
        <v>33</v>
      </c>
      <c r="B207" t="s">
        <v>36</v>
      </c>
      <c r="C207" t="s">
        <v>8</v>
      </c>
      <c r="D207">
        <v>2023</v>
      </c>
      <c r="E207" t="s">
        <v>9</v>
      </c>
      <c r="F207">
        <v>38638444310</v>
      </c>
      <c r="G207" t="str" cm="1">
        <f t="array" ref="G207">_xlfn.SWITCH(TRUE(),
    OR(B207="الأصول غير المالية"), "الأصول غير المالية",
    OR(B207="الإعانات"), "الإعانات",
    OR(B207="السلع والخدمات"), "السلع والخدمات",
    OR(B207="المنافع الاجتماعية"), "المنافع الاجتماعية",
    OR(B207="المنح"), "المنح",
    OR(B207="تعويضات العاملين"), "تعويضات العاملين",
    OR(B207="مصاريف أخرى"), "مصاريف أخرى",
    OR(B207="نفقات تمويل"), "نفقات تمويل",
    "Other"
)</f>
        <v>Other</v>
      </c>
    </row>
    <row r="208" spans="1:7" x14ac:dyDescent="0.35">
      <c r="A208" t="s">
        <v>19</v>
      </c>
      <c r="B208" t="s">
        <v>49</v>
      </c>
      <c r="C208" t="s">
        <v>8</v>
      </c>
      <c r="D208">
        <v>2023</v>
      </c>
      <c r="E208" t="s">
        <v>9</v>
      </c>
      <c r="F208">
        <v>37789203690</v>
      </c>
      <c r="G208" t="str" cm="1">
        <f t="array" ref="G208">_xlfn.SWITCH(TRUE(),
    OR(B208="الأصول غير المالية"), "الأصول غير المالية",
    OR(B208="الإعانات"), "الإعانات",
    OR(B208="السلع والخدمات"), "السلع والخدمات",
    OR(B208="المنافع الاجتماعية"), "المنافع الاجتماعية",
    OR(B208="المنح"), "المنح",
    OR(B208="تعويضات العاملين"), "تعويضات العاملين",
    OR(B208="مصاريف أخرى"), "مصاريف أخرى",
    OR(B208="نفقات تمويل"), "نفقات تمويل",
    "Other"
)</f>
        <v>نفقات تمويل</v>
      </c>
    </row>
    <row r="209" spans="1:7" x14ac:dyDescent="0.35">
      <c r="A209" t="s">
        <v>19</v>
      </c>
      <c r="B209" t="s">
        <v>48</v>
      </c>
      <c r="C209" t="s">
        <v>8</v>
      </c>
      <c r="D209">
        <v>2023</v>
      </c>
      <c r="E209" t="s">
        <v>9</v>
      </c>
      <c r="F209">
        <v>20904802250</v>
      </c>
      <c r="G209" t="str" cm="1">
        <f t="array" ref="G209">_xlfn.SWITCH(TRUE(),
    OR(B209="الأصول غير المالية"), "الأصول غير المالية",
    OR(B209="الإعانات"), "الإعانات",
    OR(B209="السلع والخدمات"), "السلع والخدمات",
    OR(B209="المنافع الاجتماعية"), "المنافع الاجتماعية",
    OR(B209="المنح"), "المنح",
    OR(B209="تعويضات العاملين"), "تعويضات العاملين",
    OR(B209="مصاريف أخرى"), "مصاريف أخرى",
    OR(B209="نفقات تمويل"), "نفقات تمويل",
    "Other"
)</f>
        <v>الإعانات</v>
      </c>
    </row>
    <row r="210" spans="1:7" x14ac:dyDescent="0.35">
      <c r="A210" t="s">
        <v>19</v>
      </c>
      <c r="B210" t="s">
        <v>47</v>
      </c>
      <c r="C210" t="s">
        <v>8</v>
      </c>
      <c r="D210">
        <v>2023</v>
      </c>
      <c r="E210" t="s">
        <v>9</v>
      </c>
      <c r="F210">
        <v>6791483738</v>
      </c>
      <c r="G210" t="str" cm="1">
        <f t="array" ref="G210">_xlfn.SWITCH(TRUE(),
    OR(B210="الأصول غير المالية"), "الأصول غير المالية",
    OR(B210="الإعانات"), "الإعانات",
    OR(B210="السلع والخدمات"), "السلع والخدمات",
    OR(B210="المنافع الاجتماعية"), "المنافع الاجتماعية",
    OR(B210="المنح"), "المنح",
    OR(B210="تعويضات العاملين"), "تعويضات العاملين",
    OR(B210="مصاريف أخرى"), "مصاريف أخرى",
    OR(B210="نفقات تمويل"), "نفقات تمويل",
    "Other"
)</f>
        <v>المنح</v>
      </c>
    </row>
    <row r="211" spans="1:7" x14ac:dyDescent="0.35">
      <c r="A211" t="s">
        <v>26</v>
      </c>
      <c r="B211" t="s">
        <v>27</v>
      </c>
      <c r="C211" t="s">
        <v>8</v>
      </c>
      <c r="D211">
        <v>2023</v>
      </c>
      <c r="E211" t="s">
        <v>9</v>
      </c>
      <c r="F211">
        <v>1050282316000</v>
      </c>
      <c r="G211" t="str" cm="1">
        <f t="array" ref="G211">_xlfn.SWITCH(TRUE(),
    OR(B211="الأصول غير المالية"), "الأصول غير المالية",
    OR(B211="الإعانات"), "الإعانات",
    OR(B211="السلع والخدمات"), "السلع والخدمات",
    OR(B211="المنافع الاجتماعية"), "المنافع الاجتماعية",
    OR(B211="المنح"), "المنح",
    OR(B211="تعويضات العاملين"), "تعويضات العاملين",
    OR(B211="مصاريف أخرى"), "مصاريف أخرى",
    OR(B211="نفقات تمويل"), "نفقات تمويل",
    "Other"
)</f>
        <v>Other</v>
      </c>
    </row>
    <row r="212" spans="1:7" x14ac:dyDescent="0.35">
      <c r="A212" t="s">
        <v>33</v>
      </c>
      <c r="B212" t="s">
        <v>37</v>
      </c>
      <c r="C212" t="s">
        <v>8</v>
      </c>
      <c r="D212">
        <v>2024</v>
      </c>
      <c r="E212" t="s">
        <v>9</v>
      </c>
      <c r="F212">
        <v>288809217000</v>
      </c>
      <c r="G212" t="str" cm="1">
        <f t="array" ref="G212">_xlfn.SWITCH(TRUE(),
    OR(B212="الأصول غير المالية"), "الأصول غير المالية",
    OR(B212="الإعانات"), "الإعانات",
    OR(B212="السلع والخدمات"), "السلع والخدمات",
    OR(B212="المنافع الاجتماعية"), "المنافع الاجتماعية",
    OR(B212="المنح"), "المنح",
    OR(B212="تعويضات العاملين"), "تعويضات العاملين",
    OR(B212="مصاريف أخرى"), "مصاريف أخرى",
    OR(B212="نفقات تمويل"), "نفقات تمويل",
    "Other"
)</f>
        <v>Other</v>
      </c>
    </row>
    <row r="213" spans="1:7" x14ac:dyDescent="0.35">
      <c r="A213" t="s">
        <v>33</v>
      </c>
      <c r="B213" t="s">
        <v>36</v>
      </c>
      <c r="C213" t="s">
        <v>8</v>
      </c>
      <c r="D213">
        <v>2024</v>
      </c>
      <c r="E213" t="s">
        <v>9</v>
      </c>
      <c r="F213">
        <v>31575624070</v>
      </c>
      <c r="G213" t="str" cm="1">
        <f t="array" ref="G213">_xlfn.SWITCH(TRUE(),
    OR(B213="الأصول غير المالية"), "الأصول غير المالية",
    OR(B213="الإعانات"), "الإعانات",
    OR(B213="السلع والخدمات"), "السلع والخدمات",
    OR(B213="المنافع الاجتماعية"), "المنافع الاجتماعية",
    OR(B213="المنح"), "المنح",
    OR(B213="تعويضات العاملين"), "تعويضات العاملين",
    OR(B213="مصاريف أخرى"), "مصاريف أخرى",
    OR(B213="نفقات تمويل"), "نفقات تمويل",
    "Other"
)</f>
        <v>Other</v>
      </c>
    </row>
    <row r="214" spans="1:7" x14ac:dyDescent="0.35">
      <c r="A214" t="s">
        <v>38</v>
      </c>
      <c r="B214" t="s">
        <v>39</v>
      </c>
      <c r="C214" t="s">
        <v>8</v>
      </c>
      <c r="D214">
        <v>2024</v>
      </c>
      <c r="E214" t="s">
        <v>9</v>
      </c>
      <c r="F214">
        <v>502000000000</v>
      </c>
      <c r="G214" t="str" cm="1">
        <f t="array" ref="G214">_xlfn.SWITCH(TRUE(),
    OR(B214="الأصول غير المالية"), "الأصول غير المالية",
    OR(B214="الإعانات"), "الإعانات",
    OR(B214="السلع والخدمات"), "السلع والخدمات",
    OR(B214="المنافع الاجتماعية"), "المنافع الاجتماعية",
    OR(B214="المنح"), "المنح",
    OR(B214="تعويضات العاملين"), "تعويضات العاملين",
    OR(B214="مصاريف أخرى"), "مصاريف أخرى",
    OR(B214="نفقات تمويل"), "نفقات تمويل",
    "Other"
)</f>
        <v>Other</v>
      </c>
    </row>
    <row r="215" spans="1:7" x14ac:dyDescent="0.35">
      <c r="A215" t="s">
        <v>24</v>
      </c>
      <c r="B215" t="s">
        <v>25</v>
      </c>
      <c r="C215" t="s">
        <v>8</v>
      </c>
      <c r="D215">
        <v>2024</v>
      </c>
      <c r="E215" t="s">
        <v>9</v>
      </c>
      <c r="F215">
        <v>390000000000</v>
      </c>
      <c r="G215" t="str" cm="1">
        <f t="array" ref="G215">_xlfn.SWITCH(TRUE(),
    OR(B215="الأصول غير المالية"), "الأصول غير المالية",
    OR(B215="الإعانات"), "الإعانات",
    OR(B215="السلع والخدمات"), "السلع والخدمات",
    OR(B215="المنافع الاجتماعية"), "المنافع الاجتماعية",
    OR(B215="المنح"), "المنح",
    OR(B215="تعويضات العاملين"), "تعويضات العاملين",
    OR(B215="مصاريف أخرى"), "مصاريف أخرى",
    OR(B215="نفقات تمويل"), "نفقات تمويل",
    "Other"
)</f>
        <v>Other</v>
      </c>
    </row>
    <row r="216" spans="1:7" x14ac:dyDescent="0.35">
      <c r="A216" t="s">
        <v>33</v>
      </c>
      <c r="B216" t="s">
        <v>35</v>
      </c>
      <c r="C216" t="s">
        <v>8</v>
      </c>
      <c r="D216">
        <v>2024</v>
      </c>
      <c r="E216" t="s">
        <v>9</v>
      </c>
      <c r="F216">
        <v>24498603510</v>
      </c>
      <c r="G216" t="str" cm="1">
        <f t="array" ref="G216">_xlfn.SWITCH(TRUE(),
    OR(B216="الأصول غير المالية"), "الأصول غير المالية",
    OR(B216="الإعانات"), "الإعانات",
    OR(B216="السلع والخدمات"), "السلع والخدمات",
    OR(B216="المنافع الاجتماعية"), "المنافع الاجتماعية",
    OR(B216="المنح"), "المنح",
    OR(B216="تعويضات العاملين"), "تعويضات العاملين",
    OR(B216="مصاريف أخرى"), "مصاريف أخرى",
    OR(B216="نفقات تمويل"), "نفقات تمويل",
    "Other"
)</f>
        <v>Other</v>
      </c>
    </row>
    <row r="217" spans="1:7" x14ac:dyDescent="0.35">
      <c r="A217" t="s">
        <v>38</v>
      </c>
      <c r="B217" t="s">
        <v>40</v>
      </c>
      <c r="C217" t="s">
        <v>8</v>
      </c>
      <c r="D217">
        <v>2024</v>
      </c>
      <c r="E217" t="s">
        <v>9</v>
      </c>
      <c r="F217">
        <v>757000000000</v>
      </c>
      <c r="G217" t="str" cm="1">
        <f t="array" ref="G217">_xlfn.SWITCH(TRUE(),
    OR(B217="الأصول غير المالية"), "الأصول غير المالية",
    OR(B217="الإعانات"), "الإعانات",
    OR(B217="السلع والخدمات"), "السلع والخدمات",
    OR(B217="المنافع الاجتماعية"), "المنافع الاجتماعية",
    OR(B217="المنح"), "المنح",
    OR(B217="تعويضات العاملين"), "تعويضات العاملين",
    OR(B217="مصاريف أخرى"), "مصاريف أخرى",
    OR(B217="نفقات تمويل"), "نفقات تمويل",
    "Other"
)</f>
        <v>Other</v>
      </c>
    </row>
    <row r="218" spans="1:7" x14ac:dyDescent="0.35">
      <c r="A218" t="s">
        <v>21</v>
      </c>
      <c r="B218" t="s">
        <v>22</v>
      </c>
      <c r="C218" t="s">
        <v>8</v>
      </c>
      <c r="D218">
        <v>2024</v>
      </c>
      <c r="E218" t="s">
        <v>9</v>
      </c>
      <c r="F218">
        <v>77000000000</v>
      </c>
      <c r="G218" t="str" cm="1">
        <f t="array" ref="G218">_xlfn.SWITCH(TRUE(),
    OR(B218="الأصول غير المالية"), "الأصول غير المالية",
    OR(B218="الإعانات"), "الإعانات",
    OR(B218="السلع والخدمات"), "السلع والخدمات",
    OR(B218="المنافع الاجتماعية"), "المنافع الاجتماعية",
    OR(B218="المنح"), "المنح",
    OR(B218="تعويضات العاملين"), "تعويضات العاملين",
    OR(B218="مصاريف أخرى"), "مصاريف أخرى",
    OR(B218="نفقات تمويل"), "نفقات تمويل",
    "Other"
)</f>
        <v>Other</v>
      </c>
    </row>
    <row r="219" spans="1:7" x14ac:dyDescent="0.35">
      <c r="A219" t="s">
        <v>31</v>
      </c>
      <c r="B219" t="s">
        <v>32</v>
      </c>
      <c r="C219" t="s">
        <v>8</v>
      </c>
      <c r="D219">
        <v>2024</v>
      </c>
      <c r="E219" t="s">
        <v>9</v>
      </c>
      <c r="F219">
        <v>4649267000000</v>
      </c>
      <c r="G219" t="str" cm="1">
        <f t="array" ref="G219">_xlfn.SWITCH(TRUE(),
    OR(B219="الأصول غير المالية"), "الأصول غير المالية",
    OR(B219="الإعانات"), "الإعانات",
    OR(B219="السلع والخدمات"), "السلع والخدمات",
    OR(B219="المنافع الاجتماعية"), "المنافع الاجتماعية",
    OR(B219="المنح"), "المنح",
    OR(B219="تعويضات العاملين"), "تعويضات العاملين",
    OR(B219="مصاريف أخرى"), "مصاريف أخرى",
    OR(B219="نفقات تمويل"), "نفقات تمويل",
    "Other"
)</f>
        <v>Other</v>
      </c>
    </row>
    <row r="220" spans="1:7" x14ac:dyDescent="0.35">
      <c r="A220" t="s">
        <v>33</v>
      </c>
      <c r="B220" t="s">
        <v>34</v>
      </c>
      <c r="C220" t="s">
        <v>8</v>
      </c>
      <c r="D220">
        <v>2024</v>
      </c>
      <c r="E220" t="s">
        <v>9</v>
      </c>
      <c r="F220">
        <v>35645881880</v>
      </c>
      <c r="G220" t="str" cm="1">
        <f t="array" ref="G220">_xlfn.SWITCH(TRUE(),
    OR(B220="الأصول غير المالية"), "الأصول غير المالية",
    OR(B220="الإعانات"), "الإعانات",
    OR(B220="السلع والخدمات"), "السلع والخدمات",
    OR(B220="المنافع الاجتماعية"), "المنافع الاجتماعية",
    OR(B220="المنح"), "المنح",
    OR(B220="تعويضات العاملين"), "تعويضات العاملين",
    OR(B220="مصاريف أخرى"), "مصاريف أخرى",
    OR(B220="نفقات تمويل"), "نفقات تمويل",
    "Other"
)</f>
        <v>Other</v>
      </c>
    </row>
    <row r="221" spans="1:7" x14ac:dyDescent="0.35">
      <c r="A221" t="s">
        <v>19</v>
      </c>
      <c r="B221" t="s">
        <v>20</v>
      </c>
      <c r="C221" t="s">
        <v>8</v>
      </c>
      <c r="D221">
        <v>2024</v>
      </c>
      <c r="E221" t="s">
        <v>9</v>
      </c>
      <c r="F221">
        <v>562000000000</v>
      </c>
      <c r="G221" t="str" cm="1">
        <f t="array" ref="G221">_xlfn.SWITCH(TRUE(),
    OR(B221="الأصول غير المالية"), "الأصول غير المالية",
    OR(B221="الإعانات"), "الإعانات",
    OR(B221="السلع والخدمات"), "السلع والخدمات",
    OR(B221="المنافع الاجتماعية"), "المنافع الاجتماعية",
    OR(B221="المنح"), "المنح",
    OR(B221="تعويضات العاملين"), "تعويضات العاملين",
    OR(B221="مصاريف أخرى"), "مصاريف أخرى",
    OR(B221="نفقات تمويل"), "نفقات تمويل",
    "Other"
)</f>
        <v>تعويضات العاملين</v>
      </c>
    </row>
    <row r="222" spans="1:7" x14ac:dyDescent="0.35">
      <c r="A222" t="s">
        <v>19</v>
      </c>
      <c r="B222" t="s">
        <v>50</v>
      </c>
      <c r="C222" t="s">
        <v>8</v>
      </c>
      <c r="D222">
        <v>2024</v>
      </c>
      <c r="E222" t="s">
        <v>9</v>
      </c>
      <c r="F222">
        <v>313000000000</v>
      </c>
      <c r="G222" t="str" cm="1">
        <f t="array" ref="G222">_xlfn.SWITCH(TRUE(),
    OR(B222="الأصول غير المالية"), "الأصول غير المالية",
    OR(B222="الإعانات"), "الإعانات",
    OR(B222="السلع والخدمات"), "السلع والخدمات",
    OR(B222="المنافع الاجتماعية"), "المنافع الاجتماعية",
    OR(B222="المنح"), "المنح",
    OR(B222="تعويضات العاملين"), "تعويضات العاملين",
    OR(B222="مصاريف أخرى"), "مصاريف أخرى",
    OR(B222="نفقات تمويل"), "نفقات تمويل",
    "Other"
)</f>
        <v>السلع والخدمات</v>
      </c>
    </row>
    <row r="223" spans="1:7" x14ac:dyDescent="0.35">
      <c r="A223" t="s">
        <v>19</v>
      </c>
      <c r="B223" t="s">
        <v>49</v>
      </c>
      <c r="C223" t="s">
        <v>8</v>
      </c>
      <c r="D223">
        <v>2024</v>
      </c>
      <c r="E223" t="s">
        <v>9</v>
      </c>
      <c r="F223">
        <v>45000000000</v>
      </c>
      <c r="G223" t="str" cm="1">
        <f t="array" ref="G223">_xlfn.SWITCH(TRUE(),
    OR(B223="الأصول غير المالية"), "الأصول غير المالية",
    OR(B223="الإعانات"), "الإعانات",
    OR(B223="السلع والخدمات"), "السلع والخدمات",
    OR(B223="المنافع الاجتماعية"), "المنافع الاجتماعية",
    OR(B223="المنح"), "المنح",
    OR(B223="تعويضات العاملين"), "تعويضات العاملين",
    OR(B223="مصاريف أخرى"), "مصاريف أخرى",
    OR(B223="نفقات تمويل"), "نفقات تمويل",
    "Other"
)</f>
        <v>نفقات تمويل</v>
      </c>
    </row>
    <row r="224" spans="1:7" x14ac:dyDescent="0.35">
      <c r="A224" t="s">
        <v>45</v>
      </c>
      <c r="B224" t="s">
        <v>45</v>
      </c>
      <c r="C224" t="s">
        <v>8</v>
      </c>
      <c r="D224">
        <v>2024</v>
      </c>
      <c r="E224" t="s">
        <v>9</v>
      </c>
      <c r="F224">
        <v>1375000000000</v>
      </c>
      <c r="G224" t="str" cm="1">
        <f t="array" ref="G224">_xlfn.SWITCH(TRUE(),
    OR(B224="الأصول غير المالية"), "الأصول غير المالية",
    OR(B224="الإعانات"), "الإعانات",
    OR(B224="السلع والخدمات"), "السلع والخدمات",
    OR(B224="المنافع الاجتماعية"), "المنافع الاجتماعية",
    OR(B224="المنح"), "المنح",
    OR(B224="تعويضات العاملين"), "تعويضات العاملين",
    OR(B224="مصاريف أخرى"), "مصاريف أخرى",
    OR(B224="نفقات تمويل"), "نفقات تمويل",
    "Other"
)</f>
        <v>Other</v>
      </c>
    </row>
    <row r="225" spans="1:7" x14ac:dyDescent="0.35">
      <c r="A225" t="s">
        <v>42</v>
      </c>
      <c r="B225" t="s">
        <v>43</v>
      </c>
      <c r="C225" t="s">
        <v>8</v>
      </c>
      <c r="D225">
        <v>2024</v>
      </c>
      <c r="E225" t="s">
        <v>9</v>
      </c>
      <c r="F225">
        <v>191000000000</v>
      </c>
      <c r="G225" t="str" cm="1">
        <f t="array" ref="G225">_xlfn.SWITCH(TRUE(),
    OR(B225="الأصول غير المالية"), "الأصول غير المالية",
    OR(B225="الإعانات"), "الإعانات",
    OR(B225="السلع والخدمات"), "السلع والخدمات",
    OR(B225="المنافع الاجتماعية"), "المنافع الاجتماعية",
    OR(B225="المنح"), "المنح",
    OR(B225="تعويضات العاملين"), "تعويضات العاملين",
    OR(B225="مصاريف أخرى"), "مصاريف أخرى",
    OR(B225="نفقات تمويل"), "نفقات تمويل",
    "Other"
)</f>
        <v>الأصول غير المالية</v>
      </c>
    </row>
    <row r="226" spans="1:7" x14ac:dyDescent="0.35">
      <c r="A226" t="s">
        <v>21</v>
      </c>
      <c r="B226" t="s">
        <v>23</v>
      </c>
      <c r="C226" t="s">
        <v>8</v>
      </c>
      <c r="D226">
        <v>2024</v>
      </c>
      <c r="E226" t="s">
        <v>9</v>
      </c>
      <c r="F226">
        <v>168000000000</v>
      </c>
      <c r="G226" t="str" cm="1">
        <f t="array" ref="G226">_xlfn.SWITCH(TRUE(),
    OR(B226="الأصول غير المالية"), "الأصول غير المالية",
    OR(B226="الإعانات"), "الإعانات",
    OR(B226="السلع والخدمات"), "السلع والخدمات",
    OR(B226="المنافع الاجتماعية"), "المنافع الاجتماعية",
    OR(B226="المنح"), "المنح",
    OR(B226="تعويضات العاملين"), "تعويضات العاملين",
    OR(B226="مصاريف أخرى"), "مصاريف أخرى",
    OR(B226="نفقات تمويل"), "نفقات تمويل",
    "Other"
)</f>
        <v>Other</v>
      </c>
    </row>
    <row r="227" spans="1:7" x14ac:dyDescent="0.35">
      <c r="A227" t="s">
        <v>41</v>
      </c>
      <c r="B227" t="s">
        <v>41</v>
      </c>
      <c r="C227" t="s">
        <v>8</v>
      </c>
      <c r="D227">
        <v>2024</v>
      </c>
      <c r="E227" t="s">
        <v>9</v>
      </c>
      <c r="F227">
        <v>1259000000000</v>
      </c>
      <c r="G227" t="str" cm="1">
        <f t="array" ref="G227">_xlfn.SWITCH(TRUE(),
    OR(B227="الأصول غير المالية"), "الأصول غير المالية",
    OR(B227="الإعانات"), "الإعانات",
    OR(B227="السلع والخدمات"), "السلع والخدمات",
    OR(B227="المنافع الاجتماعية"), "المنافع الاجتماعية",
    OR(B227="المنح"), "المنح",
    OR(B227="تعويضات العاملين"), "تعويضات العاملين",
    OR(B227="مصاريف أخرى"), "مصاريف أخرى",
    OR(B227="نفقات تمويل"), "نفقات تمويل",
    "Other"
)</f>
        <v>Other</v>
      </c>
    </row>
    <row r="228" spans="1:7" x14ac:dyDescent="0.35">
      <c r="A228" t="s">
        <v>30</v>
      </c>
      <c r="B228" t="s">
        <v>30</v>
      </c>
      <c r="C228" t="s">
        <v>8</v>
      </c>
      <c r="D228">
        <v>2024</v>
      </c>
      <c r="E228" t="s">
        <v>9</v>
      </c>
      <c r="F228">
        <v>878566108600</v>
      </c>
      <c r="G228" t="str" cm="1">
        <f t="array" ref="G228">_xlfn.SWITCH(TRUE(),
    OR(B228="الأصول غير المالية"), "الأصول غير المالية",
    OR(B228="الإعانات"), "الإعانات",
    OR(B228="السلع والخدمات"), "السلع والخدمات",
    OR(B228="المنافع الاجتماعية"), "المنافع الاجتماعية",
    OR(B228="المنح"), "المنح",
    OR(B228="تعويضات العاملين"), "تعويضات العاملين",
    OR(B228="مصاريف أخرى"), "مصاريف أخرى",
    OR(B228="نفقات تمويل"), "نفقات تمويل",
    "Other"
)</f>
        <v>Other</v>
      </c>
    </row>
    <row r="229" spans="1:7" x14ac:dyDescent="0.35">
      <c r="A229" t="s">
        <v>19</v>
      </c>
      <c r="B229" t="s">
        <v>48</v>
      </c>
      <c r="C229" t="s">
        <v>8</v>
      </c>
      <c r="D229">
        <v>2024</v>
      </c>
      <c r="E229" t="s">
        <v>9</v>
      </c>
      <c r="F229">
        <v>34000000000</v>
      </c>
      <c r="G229" t="str" cm="1">
        <f t="array" ref="G229">_xlfn.SWITCH(TRUE(),
    OR(B229="الأصول غير المالية"), "الأصول غير المالية",
    OR(B229="الإعانات"), "الإعانات",
    OR(B229="السلع والخدمات"), "السلع والخدمات",
    OR(B229="المنافع الاجتماعية"), "المنافع الاجتماعية",
    OR(B229="المنح"), "المنح",
    OR(B229="تعويضات العاملين"), "تعويضات العاملين",
    OR(B229="مصاريف أخرى"), "مصاريف أخرى",
    OR(B229="نفقات تمويل"), "نفقات تمويل",
    "Other"
)</f>
        <v>الإعانات</v>
      </c>
    </row>
    <row r="230" spans="1:7" x14ac:dyDescent="0.35">
      <c r="A230" t="s">
        <v>19</v>
      </c>
      <c r="B230" t="s">
        <v>47</v>
      </c>
      <c r="C230" t="s">
        <v>8</v>
      </c>
      <c r="D230">
        <v>2024</v>
      </c>
      <c r="E230" t="s">
        <v>9</v>
      </c>
      <c r="F230">
        <v>4000000000</v>
      </c>
      <c r="G230" t="str" cm="1">
        <f t="array" ref="G230">_xlfn.SWITCH(TRUE(),
    OR(B230="الأصول غير المالية"), "الأصول غير المالية",
    OR(B230="الإعانات"), "الإعانات",
    OR(B230="السلع والخدمات"), "السلع والخدمات",
    OR(B230="المنافع الاجتماعية"), "المنافع الاجتماعية",
    OR(B230="المنح"), "المنح",
    OR(B230="تعويضات العاملين"), "تعويضات العاملين",
    OR(B230="مصاريف أخرى"), "مصاريف أخرى",
    OR(B230="نفقات تمويل"), "نفقات تمويل",
    "Other"
)</f>
        <v>المنح</v>
      </c>
    </row>
    <row r="231" spans="1:7" x14ac:dyDescent="0.35">
      <c r="A231" t="s">
        <v>19</v>
      </c>
      <c r="B231" t="s">
        <v>46</v>
      </c>
      <c r="C231" t="s">
        <v>8</v>
      </c>
      <c r="D231">
        <v>2024</v>
      </c>
      <c r="E231" t="s">
        <v>9</v>
      </c>
      <c r="F231">
        <v>101000000000</v>
      </c>
      <c r="G231" t="str" cm="1">
        <f t="array" ref="G231">_xlfn.SWITCH(TRUE(),
    OR(B231="الأصول غير المالية"), "الأصول غير المالية",
    OR(B231="الإعانات"), "الإعانات",
    OR(B231="السلع والخدمات"), "السلع والخدمات",
    OR(B231="المنافع الاجتماعية"), "المنافع الاجتماعية",
    OR(B231="المنح"), "المنح",
    OR(B231="تعويضات العاملين"), "تعويضات العاملين",
    OR(B231="مصاريف أخرى"), "مصاريف أخرى",
    OR(B231="نفقات تمويل"), "نفقات تمويل",
    "Other"
)</f>
        <v>المنافع الاجتماعية</v>
      </c>
    </row>
    <row r="232" spans="1:7" x14ac:dyDescent="0.35">
      <c r="A232" t="s">
        <v>19</v>
      </c>
      <c r="B232" t="s">
        <v>44</v>
      </c>
      <c r="C232" t="s">
        <v>8</v>
      </c>
      <c r="D232">
        <v>2024</v>
      </c>
      <c r="E232" t="s">
        <v>9</v>
      </c>
      <c r="F232">
        <v>125000000000</v>
      </c>
      <c r="G232" t="str" cm="1">
        <f t="array" ref="G232">_xlfn.SWITCH(TRUE(),
    OR(B232="الأصول غير المالية"), "الأصول غير المالية",
    OR(B232="الإعانات"), "الإعانات",
    OR(B232="السلع والخدمات"), "السلع والخدمات",
    OR(B232="المنافع الاجتماعية"), "المنافع الاجتماعية",
    OR(B232="المنح"), "المنح",
    OR(B232="تعويضات العاملين"), "تعويضات العاملين",
    OR(B232="مصاريف أخرى"), "مصاريف أخرى",
    OR(B232="نفقات تمويل"), "نفقات تمويل",
    "Other"
)</f>
        <v>Other</v>
      </c>
    </row>
    <row r="233" spans="1:7" x14ac:dyDescent="0.35">
      <c r="A233" t="s">
        <v>28</v>
      </c>
      <c r="B233" t="s">
        <v>29</v>
      </c>
      <c r="C233" t="s">
        <v>8</v>
      </c>
      <c r="D233">
        <v>2024</v>
      </c>
      <c r="E233" t="s">
        <v>9</v>
      </c>
      <c r="F233">
        <v>-116000000000</v>
      </c>
      <c r="G233" t="str" cm="1">
        <f t="array" ref="G233">_xlfn.SWITCH(TRUE(),
    OR(B233="الأصول غير المالية"), "الأصول غير المالية",
    OR(B233="الإعانات"), "الإعانات",
    OR(B233="السلع والخدمات"), "السلع والخدمات",
    OR(B233="المنافع الاجتماعية"), "المنافع الاجتماعية",
    OR(B233="المنح"), "المنح",
    OR(B233="تعويضات العاملين"), "تعويضات العاملين",
    OR(B233="مصاريف أخرى"), "مصاريف أخرى",
    OR(B233="نفقات تمويل"), "نفقات تمويل",
    "Other"
)</f>
        <v>Other</v>
      </c>
    </row>
    <row r="234" spans="1:7" x14ac:dyDescent="0.35">
      <c r="A234" t="s">
        <v>26</v>
      </c>
      <c r="B234" t="s">
        <v>27</v>
      </c>
      <c r="C234" t="s">
        <v>8</v>
      </c>
      <c r="D234">
        <v>2024</v>
      </c>
      <c r="E234" t="s">
        <v>9</v>
      </c>
      <c r="F234">
        <v>1216000000000</v>
      </c>
      <c r="G234" t="str" cm="1">
        <f t="array" ref="G234">_xlfn.SWITCH(TRUE(),
    OR(B234="الأصول غير المالية"), "الأصول غير المالية",
    OR(B234="الإعانات"), "الإعانات",
    OR(B234="السلع والخدمات"), "السلع والخدمات",
    OR(B234="المنافع الاجتماعية"), "المنافع الاجتماعية",
    OR(B234="المنح"), "المنح",
    OR(B234="تعويضات العاملين"), "تعويضات العاملين",
    OR(B234="مصاريف أخرى"), "مصاريف أخرى",
    OR(B234="نفقات تمويل"), "نفقات تمويل",
    "Other"
)</f>
        <v>Other</v>
      </c>
    </row>
    <row r="235" spans="1:7" x14ac:dyDescent="0.35">
      <c r="A235" t="s">
        <v>31</v>
      </c>
      <c r="B235" t="s">
        <v>32</v>
      </c>
      <c r="C235" t="s">
        <v>18</v>
      </c>
      <c r="D235">
        <v>2025</v>
      </c>
      <c r="E235" t="s">
        <v>9</v>
      </c>
      <c r="F235">
        <v>4352000000000</v>
      </c>
      <c r="G235" t="str" cm="1">
        <f t="array" ref="G235">_xlfn.SWITCH(TRUE(),
    OR(B235="الأصول غير المالية"), "الأصول غير المالية",
    OR(B235="الإعانات"), "الإعانات",
    OR(B235="السلع والخدمات"), "السلع والخدمات",
    OR(B235="المنافع الاجتماعية"), "المنافع الاجتماعية",
    OR(B235="المنح"), "المنح",
    OR(B235="تعويضات العاملين"), "تعويضات العاملين",
    OR(B235="مصاريف أخرى"), "مصاريف أخرى",
    OR(B235="نفقات تمويل"), "نفقات تمويل",
    "Other"
)</f>
        <v>Other</v>
      </c>
    </row>
    <row r="236" spans="1:7" x14ac:dyDescent="0.35">
      <c r="A236" t="s">
        <v>33</v>
      </c>
      <c r="B236" t="s">
        <v>37</v>
      </c>
      <c r="C236" t="s">
        <v>18</v>
      </c>
      <c r="D236">
        <v>2025</v>
      </c>
      <c r="E236" t="s">
        <v>9</v>
      </c>
      <c r="F236">
        <v>290391270700</v>
      </c>
      <c r="G236" t="str" cm="1">
        <f t="array" ref="G236">_xlfn.SWITCH(TRUE(),
    OR(B236="الأصول غير المالية"), "الأصول غير المالية",
    OR(B236="الإعانات"), "الإعانات",
    OR(B236="السلع والخدمات"), "السلع والخدمات",
    OR(B236="المنافع الاجتماعية"), "المنافع الاجتماعية",
    OR(B236="المنح"), "المنح",
    OR(B236="تعويضات العاملين"), "تعويضات العاملين",
    OR(B236="مصاريف أخرى"), "مصاريف أخرى",
    OR(B236="نفقات تمويل"), "نفقات تمويل",
    "Other"
)</f>
        <v>Other</v>
      </c>
    </row>
    <row r="237" spans="1:7" x14ac:dyDescent="0.35">
      <c r="A237" t="s">
        <v>19</v>
      </c>
      <c r="B237" t="s">
        <v>48</v>
      </c>
      <c r="C237" t="s">
        <v>18</v>
      </c>
      <c r="D237">
        <v>2025</v>
      </c>
      <c r="E237" t="s">
        <v>9</v>
      </c>
      <c r="F237">
        <v>31011556540</v>
      </c>
      <c r="G237" t="str" cm="1">
        <f t="array" ref="G237">_xlfn.SWITCH(TRUE(),
    OR(B237="الأصول غير المالية"), "الأصول غير المالية",
    OR(B237="الإعانات"), "الإعانات",
    OR(B237="السلع والخدمات"), "السلع والخدمات",
    OR(B237="المنافع الاجتماعية"), "المنافع الاجتماعية",
    OR(B237="المنح"), "المنح",
    OR(B237="تعويضات العاملين"), "تعويضات العاملين",
    OR(B237="مصاريف أخرى"), "مصاريف أخرى",
    OR(B237="نفقات تمويل"), "نفقات تمويل",
    "Other"
)</f>
        <v>الإعانات</v>
      </c>
    </row>
    <row r="238" spans="1:7" x14ac:dyDescent="0.35">
      <c r="A238" t="s">
        <v>19</v>
      </c>
      <c r="B238" t="s">
        <v>49</v>
      </c>
      <c r="C238" t="s">
        <v>18</v>
      </c>
      <c r="D238">
        <v>2025</v>
      </c>
      <c r="E238" t="s">
        <v>9</v>
      </c>
      <c r="F238">
        <v>58722031110</v>
      </c>
      <c r="G238" t="str" cm="1">
        <f t="array" ref="G238">_xlfn.SWITCH(TRUE(),
    OR(B238="الأصول غير المالية"), "الأصول غير المالية",
    OR(B238="الإعانات"), "الإعانات",
    OR(B238="السلع والخدمات"), "السلع والخدمات",
    OR(B238="المنافع الاجتماعية"), "المنافع الاجتماعية",
    OR(B238="المنح"), "المنح",
    OR(B238="تعويضات العاملين"), "تعويضات العاملين",
    OR(B238="مصاريف أخرى"), "مصاريف أخرى",
    OR(B238="نفقات تمويل"), "نفقات تمويل",
    "Other"
)</f>
        <v>نفقات تمويل</v>
      </c>
    </row>
    <row r="239" spans="1:7" x14ac:dyDescent="0.35">
      <c r="A239" t="s">
        <v>19</v>
      </c>
      <c r="B239" t="s">
        <v>50</v>
      </c>
      <c r="C239" t="s">
        <v>18</v>
      </c>
      <c r="D239">
        <v>2025</v>
      </c>
      <c r="E239" t="s">
        <v>9</v>
      </c>
      <c r="F239">
        <v>265433498800</v>
      </c>
      <c r="G239" t="str" cm="1">
        <f t="array" ref="G239">_xlfn.SWITCH(TRUE(),
    OR(B239="الأصول غير المالية"), "الأصول غير المالية",
    OR(B239="الإعانات"), "الإعانات",
    OR(B239="السلع والخدمات"), "السلع والخدمات",
    OR(B239="المنافع الاجتماعية"), "المنافع الاجتماعية",
    OR(B239="المنح"), "المنح",
    OR(B239="تعويضات العاملين"), "تعويضات العاملين",
    OR(B239="مصاريف أخرى"), "مصاريف أخرى",
    OR(B239="نفقات تمويل"), "نفقات تمويل",
    "Other"
)</f>
        <v>السلع والخدمات</v>
      </c>
    </row>
    <row r="240" spans="1:7" x14ac:dyDescent="0.35">
      <c r="A240" t="s">
        <v>19</v>
      </c>
      <c r="B240" t="s">
        <v>20</v>
      </c>
      <c r="C240" t="s">
        <v>18</v>
      </c>
      <c r="D240">
        <v>2025</v>
      </c>
      <c r="E240" t="s">
        <v>9</v>
      </c>
      <c r="F240">
        <v>560886037100</v>
      </c>
      <c r="G240" t="str" cm="1">
        <f t="array" ref="G240">_xlfn.SWITCH(TRUE(),
    OR(B240="الأصول غير المالية"), "الأصول غير المالية",
    OR(B240="الإعانات"), "الإعانات",
    OR(B240="السلع والخدمات"), "السلع والخدمات",
    OR(B240="المنافع الاجتماعية"), "المنافع الاجتماعية",
    OR(B240="المنح"), "المنح",
    OR(B240="تعويضات العاملين"), "تعويضات العاملين",
    OR(B240="مصاريف أخرى"), "مصاريف أخرى",
    OR(B240="نفقات تمويل"), "نفقات تمويل",
    "Other"
)</f>
        <v>تعويضات العاملين</v>
      </c>
    </row>
    <row r="241" spans="1:7" x14ac:dyDescent="0.35">
      <c r="A241" t="s">
        <v>45</v>
      </c>
      <c r="B241" t="s">
        <v>45</v>
      </c>
      <c r="C241" t="s">
        <v>18</v>
      </c>
      <c r="D241">
        <v>2025</v>
      </c>
      <c r="E241" t="s">
        <v>9</v>
      </c>
      <c r="F241">
        <v>1285000000000</v>
      </c>
      <c r="G241" t="str" cm="1">
        <f t="array" ref="G241">_xlfn.SWITCH(TRUE(),
    OR(B241="الأصول غير المالية"), "الأصول غير المالية",
    OR(B241="الإعانات"), "الإعانات",
    OR(B241="السلع والخدمات"), "السلع والخدمات",
    OR(B241="المنافع الاجتماعية"), "المنافع الاجتماعية",
    OR(B241="المنح"), "المنح",
    OR(B241="تعويضات العاملين"), "تعويضات العاملين",
    OR(B241="مصاريف أخرى"), "مصاريف أخرى",
    OR(B241="نفقات تمويل"), "نفقات تمويل",
    "Other"
)</f>
        <v>Other</v>
      </c>
    </row>
    <row r="242" spans="1:7" x14ac:dyDescent="0.35">
      <c r="A242" t="s">
        <v>26</v>
      </c>
      <c r="B242" t="s">
        <v>27</v>
      </c>
      <c r="C242" t="s">
        <v>18</v>
      </c>
      <c r="D242">
        <v>2025</v>
      </c>
      <c r="E242" t="s">
        <v>9</v>
      </c>
      <c r="F242">
        <v>1300000000000</v>
      </c>
      <c r="G242" t="str" cm="1">
        <f t="array" ref="G242">_xlfn.SWITCH(TRUE(),
    OR(B242="الأصول غير المالية"), "الأصول غير المالية",
    OR(B242="الإعانات"), "الإعانات",
    OR(B242="السلع والخدمات"), "السلع والخدمات",
    OR(B242="المنافع الاجتماعية"), "المنافع الاجتماعية",
    OR(B242="المنح"), "المنح",
    OR(B242="تعويضات العاملين"), "تعويضات العاملين",
    OR(B242="مصاريف أخرى"), "مصاريف أخرى",
    OR(B242="نفقات تمويل"), "نفقات تمويل",
    "Other"
)</f>
        <v>Other</v>
      </c>
    </row>
    <row r="243" spans="1:7" x14ac:dyDescent="0.35">
      <c r="A243" t="s">
        <v>41</v>
      </c>
      <c r="B243" t="s">
        <v>41</v>
      </c>
      <c r="C243" t="s">
        <v>18</v>
      </c>
      <c r="D243">
        <v>2025</v>
      </c>
      <c r="E243" t="s">
        <v>9</v>
      </c>
      <c r="F243">
        <v>1183787935000</v>
      </c>
      <c r="G243" t="str" cm="1">
        <f t="array" ref="G243">_xlfn.SWITCH(TRUE(),
    OR(B243="الأصول غير المالية"), "الأصول غير المالية",
    OR(B243="الإعانات"), "الإعانات",
    OR(B243="السلع والخدمات"), "السلع والخدمات",
    OR(B243="المنافع الاجتماعية"), "المنافع الاجتماعية",
    OR(B243="المنح"), "المنح",
    OR(B243="تعويضات العاملين"), "تعويضات العاملين",
    OR(B243="مصاريف أخرى"), "مصاريف أخرى",
    OR(B243="نفقات تمويل"), "نفقات تمويل",
    "Other"
)</f>
        <v>Other</v>
      </c>
    </row>
    <row r="244" spans="1:7" x14ac:dyDescent="0.35">
      <c r="A244" t="s">
        <v>28</v>
      </c>
      <c r="B244" t="s">
        <v>29</v>
      </c>
      <c r="C244" t="s">
        <v>18</v>
      </c>
      <c r="D244">
        <v>2025</v>
      </c>
      <c r="E244" t="s">
        <v>9</v>
      </c>
      <c r="F244">
        <v>-101212065400</v>
      </c>
      <c r="G244" t="str" cm="1">
        <f t="array" ref="G244">_xlfn.SWITCH(TRUE(),
    OR(B244="الأصول غير المالية"), "الأصول غير المالية",
    OR(B244="الإعانات"), "الإعانات",
    OR(B244="السلع والخدمات"), "السلع والخدمات",
    OR(B244="المنافع الاجتماعية"), "المنافع الاجتماعية",
    OR(B244="المنح"), "المنح",
    OR(B244="تعويضات العاملين"), "تعويضات العاملين",
    OR(B244="مصاريف أخرى"), "مصاريف أخرى",
    OR(B244="نفقات تمويل"), "نفقات تمويل",
    "Other"
)</f>
        <v>Other</v>
      </c>
    </row>
    <row r="245" spans="1:7" x14ac:dyDescent="0.35">
      <c r="A245" t="s">
        <v>19</v>
      </c>
      <c r="B245" t="s">
        <v>47</v>
      </c>
      <c r="C245" t="s">
        <v>18</v>
      </c>
      <c r="D245">
        <v>2025</v>
      </c>
      <c r="E245" t="s">
        <v>9</v>
      </c>
      <c r="F245">
        <v>1638009000</v>
      </c>
      <c r="G245" t="str" cm="1">
        <f t="array" ref="G245">_xlfn.SWITCH(TRUE(),
    OR(B245="الأصول غير المالية"), "الأصول غير المالية",
    OR(B245="الإعانات"), "الإعانات",
    OR(B245="السلع والخدمات"), "السلع والخدمات",
    OR(B245="المنافع الاجتماعية"), "المنافع الاجتماعية",
    OR(B245="المنح"), "المنح",
    OR(B245="تعويضات العاملين"), "تعويضات العاملين",
    OR(B245="مصاريف أخرى"), "مصاريف أخرى",
    OR(B245="نفقات تمويل"), "نفقات تمويل",
    "Other"
)</f>
        <v>المنح</v>
      </c>
    </row>
    <row r="246" spans="1:7" x14ac:dyDescent="0.35">
      <c r="A246" t="s">
        <v>19</v>
      </c>
      <c r="B246" t="s">
        <v>46</v>
      </c>
      <c r="C246" t="s">
        <v>18</v>
      </c>
      <c r="D246">
        <v>2025</v>
      </c>
      <c r="E246" t="s">
        <v>9</v>
      </c>
      <c r="F246">
        <v>97674951610</v>
      </c>
      <c r="G246" t="str" cm="1">
        <f t="array" ref="G246">_xlfn.SWITCH(TRUE(),
    OR(B246="الأصول غير المالية"), "الأصول غير المالية",
    OR(B246="الإعانات"), "الإعانات",
    OR(B246="السلع والخدمات"), "السلع والخدمات",
    OR(B246="المنافع الاجتماعية"), "المنافع الاجتماعية",
    OR(B246="المنح"), "المنح",
    OR(B246="تعويضات العاملين"), "تعويضات العاملين",
    OR(B246="مصاريف أخرى"), "مصاريف أخرى",
    OR(B246="نفقات تمويل"), "نفقات تمويل",
    "Other"
)</f>
        <v>المنافع الاجتماعية</v>
      </c>
    </row>
    <row r="247" spans="1:7" x14ac:dyDescent="0.35">
      <c r="A247" t="s">
        <v>19</v>
      </c>
      <c r="B247" t="s">
        <v>44</v>
      </c>
      <c r="C247" t="s">
        <v>18</v>
      </c>
      <c r="D247">
        <v>2025</v>
      </c>
      <c r="E247" t="s">
        <v>9</v>
      </c>
      <c r="F247">
        <v>85853247380</v>
      </c>
      <c r="G247" t="str" cm="1">
        <f t="array" ref="G247">_xlfn.SWITCH(TRUE(),
    OR(B247="الأصول غير المالية"), "الأصول غير المالية",
    OR(B247="الإعانات"), "الإعانات",
    OR(B247="السلع والخدمات"), "السلع والخدمات",
    OR(B247="المنافع الاجتماعية"), "المنافع الاجتماعية",
    OR(B247="المنح"), "المنح",
    OR(B247="تعويضات العاملين"), "تعويضات العاملين",
    OR(B247="مصاريف أخرى"), "مصاريف أخرى",
    OR(B247="نفقات تمويل"), "نفقات تمويل",
    "Other"
)</f>
        <v>Other</v>
      </c>
    </row>
    <row r="248" spans="1:7" x14ac:dyDescent="0.35">
      <c r="A248" t="s">
        <v>30</v>
      </c>
      <c r="B248" t="s">
        <v>30</v>
      </c>
      <c r="C248" t="s">
        <v>18</v>
      </c>
      <c r="D248">
        <v>2025</v>
      </c>
      <c r="E248" t="s">
        <v>9</v>
      </c>
      <c r="F248">
        <v>804332322300</v>
      </c>
      <c r="G248" t="str" cm="1">
        <f t="array" ref="G248">_xlfn.SWITCH(TRUE(),
    OR(B248="الأصول غير المالية"), "الأصول غير المالية",
    OR(B248="الإعانات"), "الإعانات",
    OR(B248="السلع والخدمات"), "السلع والخدمات",
    OR(B248="المنافع الاجتماعية"), "المنافع الاجتماعية",
    OR(B248="المنح"), "المنح",
    OR(B248="تعويضات العاملين"), "تعويضات العاملين",
    OR(B248="مصاريف أخرى"), "مصاريف أخرى",
    OR(B248="نفقات تمويل"), "نفقات تمويل",
    "Other"
)</f>
        <v>Other</v>
      </c>
    </row>
    <row r="249" spans="1:7" x14ac:dyDescent="0.35">
      <c r="A249" t="s">
        <v>42</v>
      </c>
      <c r="B249" t="s">
        <v>43</v>
      </c>
      <c r="C249" t="s">
        <v>18</v>
      </c>
      <c r="D249">
        <v>2025</v>
      </c>
      <c r="E249" t="s">
        <v>9</v>
      </c>
      <c r="F249">
        <v>183780668500</v>
      </c>
      <c r="G249" t="str" cm="1">
        <f t="array" ref="G249">_xlfn.SWITCH(TRUE(),
    OR(B249="الأصول غير المالية"), "الأصول غير المالية",
    OR(B249="الإعانات"), "الإعانات",
    OR(B249="السلع والخدمات"), "السلع والخدمات",
    OR(B249="المنافع الاجتماعية"), "المنافع الاجتماعية",
    OR(B249="المنح"), "المنح",
    OR(B249="تعويضات العاملين"), "تعويضات العاملين",
    OR(B249="مصاريف أخرى"), "مصاريف أخرى",
    OR(B249="نفقات تمويل"), "نفقات تمويل",
    "Other"
)</f>
        <v>الأصول غير المالية</v>
      </c>
    </row>
    <row r="250" spans="1:7" x14ac:dyDescent="0.35">
      <c r="A250" t="s">
        <v>33</v>
      </c>
      <c r="B250" t="s">
        <v>34</v>
      </c>
      <c r="C250" t="s">
        <v>18</v>
      </c>
      <c r="D250">
        <v>2025</v>
      </c>
      <c r="E250" t="s">
        <v>9</v>
      </c>
      <c r="F250">
        <v>35714341550</v>
      </c>
      <c r="G250" t="str" cm="1">
        <f t="array" ref="G250">_xlfn.SWITCH(TRUE(),
    OR(B250="الأصول غير المالية"), "الأصول غير المالية",
    OR(B250="الإعانات"), "الإعانات",
    OR(B250="السلع والخدمات"), "السلع والخدمات",
    OR(B250="المنافع الاجتماعية"), "المنافع الاجتماعية",
    OR(B250="المنح"), "المنح",
    OR(B250="تعويضات العاملين"), "تعويضات العاملين",
    OR(B250="مصاريف أخرى"), "مصاريف أخرى",
    OR(B250="نفقات تمويل"), "نفقات تمويل",
    "Other"
)</f>
        <v>Other</v>
      </c>
    </row>
    <row r="251" spans="1:7" x14ac:dyDescent="0.35">
      <c r="A251" t="s">
        <v>33</v>
      </c>
      <c r="B251" t="s">
        <v>35</v>
      </c>
      <c r="C251" t="s">
        <v>18</v>
      </c>
      <c r="D251">
        <v>2025</v>
      </c>
      <c r="E251" t="s">
        <v>9</v>
      </c>
      <c r="F251">
        <v>22750000000</v>
      </c>
      <c r="G251" t="str" cm="1">
        <f t="array" ref="G251">_xlfn.SWITCH(TRUE(),
    OR(B251="الأصول غير المالية"), "الأصول غير المالية",
    OR(B251="الإعانات"), "الإعانات",
    OR(B251="السلع والخدمات"), "السلع والخدمات",
    OR(B251="المنافع الاجتماعية"), "المنافع الاجتماعية",
    OR(B251="المنح"), "المنح",
    OR(B251="تعويضات العاملين"), "تعويضات العاملين",
    OR(B251="مصاريف أخرى"), "مصاريف أخرى",
    OR(B251="نفقات تمويل"), "نفقات تمويل",
    "Other"
)</f>
        <v>Other</v>
      </c>
    </row>
    <row r="252" spans="1:7" x14ac:dyDescent="0.35">
      <c r="A252" t="s">
        <v>24</v>
      </c>
      <c r="B252" t="s">
        <v>25</v>
      </c>
      <c r="C252" t="s">
        <v>18</v>
      </c>
      <c r="D252">
        <v>2025</v>
      </c>
      <c r="E252" t="s">
        <v>9</v>
      </c>
      <c r="F252">
        <v>390000000000</v>
      </c>
      <c r="G252" t="str" cm="1">
        <f t="array" ref="G252">_xlfn.SWITCH(TRUE(),
    OR(B252="الأصول غير المالية"), "الأصول غير المالية",
    OR(B252="الإعانات"), "الإعانات",
    OR(B252="السلع والخدمات"), "السلع والخدمات",
    OR(B252="المنافع الاجتماعية"), "المنافع الاجتماعية",
    OR(B252="المنح"), "المنح",
    OR(B252="تعويضات العاملين"), "تعويضات العاملين",
    OR(B252="مصاريف أخرى"), "مصاريف أخرى",
    OR(B252="نفقات تمويل"), "نفقات تمويل",
    "Other"
)</f>
        <v>Other</v>
      </c>
    </row>
    <row r="253" spans="1:7" x14ac:dyDescent="0.35">
      <c r="A253" t="s">
        <v>33</v>
      </c>
      <c r="B253" t="s">
        <v>36</v>
      </c>
      <c r="C253" t="s">
        <v>18</v>
      </c>
      <c r="D253">
        <v>2025</v>
      </c>
      <c r="E253" t="s">
        <v>9</v>
      </c>
      <c r="F253">
        <v>30600000000</v>
      </c>
      <c r="G253" t="str" cm="1">
        <f t="array" ref="G253">_xlfn.SWITCH(TRUE(),
    OR(B253="الأصول غير المالية"), "الأصول غير المالية",
    OR(B253="الإعانات"), "الإعانات",
    OR(B253="السلع والخدمات"), "السلع والخدمات",
    OR(B253="المنافع الاجتماعية"), "المنافع الاجتماعية",
    OR(B253="المنح"), "المنح",
    OR(B253="تعويضات العاملين"), "تعويضات العاملين",
    OR(B253="مصاريف أخرى"), "مصاريف أخرى",
    OR(B253="نفقات تمويل"), "نفقات تمويل",
    "Other"
)</f>
        <v>Other</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11742-40B5-4C7F-93BC-116B0CDA39EF}">
  <dimension ref="A1:H22"/>
  <sheetViews>
    <sheetView workbookViewId="0">
      <selection activeCell="D23" sqref="D23"/>
    </sheetView>
  </sheetViews>
  <sheetFormatPr defaultRowHeight="14.5" x14ac:dyDescent="0.35"/>
  <cols>
    <col min="1" max="1" width="20" bestFit="1" customWidth="1"/>
    <col min="2" max="2" width="11.81640625" bestFit="1" customWidth="1"/>
    <col min="4" max="4" width="20" bestFit="1" customWidth="1"/>
    <col min="5" max="5" width="10.1796875" bestFit="1" customWidth="1"/>
    <col min="6" max="6" width="11.81640625" bestFit="1" customWidth="1"/>
    <col min="7" max="7" width="13.54296875" bestFit="1" customWidth="1"/>
    <col min="8" max="8" width="11.81640625" bestFit="1" customWidth="1"/>
  </cols>
  <sheetData>
    <row r="1" spans="1:8" ht="16" x14ac:dyDescent="0.4">
      <c r="A1" s="7" t="s">
        <v>52</v>
      </c>
      <c r="B1" s="8"/>
      <c r="D1" s="7" t="s">
        <v>45</v>
      </c>
      <c r="E1" s="8"/>
      <c r="G1" s="7" t="s">
        <v>60</v>
      </c>
    </row>
    <row r="2" spans="1:8" x14ac:dyDescent="0.35">
      <c r="A2" s="1" t="s">
        <v>1</v>
      </c>
      <c r="B2" t="s">
        <v>41</v>
      </c>
      <c r="D2" s="1" t="s">
        <v>1</v>
      </c>
      <c r="E2" t="s">
        <v>45</v>
      </c>
    </row>
    <row r="4" spans="1:8" x14ac:dyDescent="0.35">
      <c r="A4" t="s">
        <v>53</v>
      </c>
      <c r="D4" t="s">
        <v>53</v>
      </c>
    </row>
    <row r="5" spans="1:8" x14ac:dyDescent="0.35">
      <c r="A5" s="2">
        <v>1259000000000</v>
      </c>
      <c r="D5" s="2">
        <v>1375000000000</v>
      </c>
      <c r="G5" s="4"/>
    </row>
    <row r="6" spans="1:8" x14ac:dyDescent="0.35">
      <c r="A6" s="9">
        <f>GETPIVOTDATA("القيمة",$A$4)</f>
        <v>1259000000000</v>
      </c>
      <c r="B6" s="3"/>
      <c r="C6" s="3"/>
      <c r="D6" s="9">
        <f>GETPIVOTDATA("القيمة",$D$4)</f>
        <v>1375000000000</v>
      </c>
      <c r="E6" s="3"/>
      <c r="F6" s="3"/>
      <c r="G6" s="9">
        <f>A6-D6</f>
        <v>-116000000000</v>
      </c>
    </row>
    <row r="9" spans="1:8" x14ac:dyDescent="0.35">
      <c r="A9" t="s">
        <v>59</v>
      </c>
      <c r="B9" t="s">
        <v>62</v>
      </c>
      <c r="C9" t="s">
        <v>61</v>
      </c>
    </row>
    <row r="10" spans="1:8" x14ac:dyDescent="0.35">
      <c r="A10" s="10" t="str">
        <f>IF(GETPIVOTDATA("القيمة",$A$16)=0,"لا توجد بيانات متاحة","")</f>
        <v/>
      </c>
      <c r="B10">
        <f>LEN(A10)</f>
        <v>0</v>
      </c>
      <c r="C10" t="str">
        <f>REPT("█", Analysis!B10)</f>
        <v/>
      </c>
    </row>
    <row r="13" spans="1:8" ht="16" x14ac:dyDescent="0.4">
      <c r="A13" s="7" t="s">
        <v>38</v>
      </c>
      <c r="B13" s="8"/>
      <c r="G13" s="7" t="s">
        <v>58</v>
      </c>
      <c r="H13" s="8"/>
    </row>
    <row r="14" spans="1:8" x14ac:dyDescent="0.35">
      <c r="A14" s="1" t="s">
        <v>0</v>
      </c>
      <c r="B14" t="s">
        <v>38</v>
      </c>
      <c r="G14" s="1" t="s">
        <v>56</v>
      </c>
      <c r="H14" t="s">
        <v>53</v>
      </c>
    </row>
    <row r="15" spans="1:8" x14ac:dyDescent="0.35">
      <c r="G15" s="6" t="s">
        <v>20</v>
      </c>
      <c r="H15" s="11">
        <v>562000000000</v>
      </c>
    </row>
    <row r="16" spans="1:8" x14ac:dyDescent="0.35">
      <c r="A16" s="1" t="s">
        <v>56</v>
      </c>
      <c r="B16" t="s">
        <v>53</v>
      </c>
      <c r="G16" s="6" t="s">
        <v>50</v>
      </c>
      <c r="H16" s="11">
        <v>313000000000</v>
      </c>
    </row>
    <row r="17" spans="1:8" x14ac:dyDescent="0.35">
      <c r="A17" s="6" t="s">
        <v>40</v>
      </c>
      <c r="B17" s="11">
        <v>757000000000</v>
      </c>
      <c r="G17" s="6" t="s">
        <v>43</v>
      </c>
      <c r="H17" s="11">
        <v>191000000000</v>
      </c>
    </row>
    <row r="18" spans="1:8" x14ac:dyDescent="0.35">
      <c r="A18" s="6" t="s">
        <v>39</v>
      </c>
      <c r="B18" s="11">
        <v>502000000000</v>
      </c>
      <c r="G18" s="6" t="s">
        <v>46</v>
      </c>
      <c r="H18" s="11">
        <v>101000000000</v>
      </c>
    </row>
    <row r="19" spans="1:8" x14ac:dyDescent="0.35">
      <c r="A19" s="6" t="s">
        <v>57</v>
      </c>
      <c r="B19" s="11">
        <v>1259000000000</v>
      </c>
      <c r="G19" s="6" t="s">
        <v>49</v>
      </c>
      <c r="H19" s="11">
        <v>45000000000</v>
      </c>
    </row>
    <row r="20" spans="1:8" x14ac:dyDescent="0.35">
      <c r="G20" s="6" t="s">
        <v>48</v>
      </c>
      <c r="H20" s="11">
        <v>34000000000</v>
      </c>
    </row>
    <row r="21" spans="1:8" x14ac:dyDescent="0.35">
      <c r="G21" s="6" t="s">
        <v>47</v>
      </c>
      <c r="H21" s="11">
        <v>4000000000</v>
      </c>
    </row>
    <row r="22" spans="1:8" x14ac:dyDescent="0.35">
      <c r="G22" s="6" t="s">
        <v>57</v>
      </c>
      <c r="H22" s="11">
        <v>1250000000000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8BBC-4865-4014-BEB5-BD19E15A45CF}">
  <dimension ref="A1:A42"/>
  <sheetViews>
    <sheetView showGridLines="0" tabSelected="1" workbookViewId="0">
      <selection activeCell="R2" sqref="R2"/>
    </sheetView>
  </sheetViews>
  <sheetFormatPr defaultColWidth="0" defaultRowHeight="14.5" zeroHeight="1" x14ac:dyDescent="0.35"/>
  <cols>
    <col min="1" max="19" width="8.7265625" customWidth="1"/>
    <col min="20" max="16384" width="8.7265625" hidden="1"/>
  </cols>
  <sheetData>
    <row r="1" customFormat="1" x14ac:dyDescent="0.35"/>
    <row r="2" customFormat="1" x14ac:dyDescent="0.35"/>
    <row r="3" customFormat="1" x14ac:dyDescent="0.35"/>
    <row r="4" customFormat="1" x14ac:dyDescent="0.35"/>
    <row r="5" customFormat="1" x14ac:dyDescent="0.35"/>
    <row r="6" customFormat="1" x14ac:dyDescent="0.35"/>
    <row r="7" customFormat="1" x14ac:dyDescent="0.35"/>
    <row r="8" customFormat="1" x14ac:dyDescent="0.35"/>
    <row r="9" customFormat="1" x14ac:dyDescent="0.35"/>
    <row r="10" customFormat="1" x14ac:dyDescent="0.35"/>
    <row r="11" customFormat="1" x14ac:dyDescent="0.35"/>
    <row r="12" customFormat="1" x14ac:dyDescent="0.35"/>
    <row r="13" customFormat="1" x14ac:dyDescent="0.35"/>
    <row r="14" customFormat="1" x14ac:dyDescent="0.35"/>
    <row r="15" customFormat="1" x14ac:dyDescent="0.35"/>
    <row r="16" customFormat="1" x14ac:dyDescent="0.35"/>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hidden="1" x14ac:dyDescent="0.35"/>
    <row r="38" customFormat="1" hidden="1" x14ac:dyDescent="0.35"/>
    <row r="39" customFormat="1" hidden="1" x14ac:dyDescent="0.35"/>
    <row r="40" customFormat="1" hidden="1" x14ac:dyDescent="0.35"/>
    <row r="41" customFormat="1" hidden="1" x14ac:dyDescent="0.35"/>
    <row r="42" customFormat="1" hidden="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C5BC6E-1757-4EE1-A54A-5841086809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Prompts</vt:lpstr>
      <vt:lpstr>KSA Budget</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Naji El Kotob</dc:creator>
  <cp:lastModifiedBy>Naji El Kotob</cp:lastModifiedBy>
  <dcterms:created xsi:type="dcterms:W3CDTF">2025-11-20T20:44:30Z</dcterms:created>
  <dcterms:modified xsi:type="dcterms:W3CDTF">2025-11-22T14:40:47Z</dcterms:modified>
</cp:coreProperties>
</file>