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210"/>
  <workbookPr filterPrivacy="1" codeName="ThisWorkbook" defaultThemeVersion="166925"/>
  <xr:revisionPtr revIDLastSave="0" documentId="13_ncr:1_{279AB63E-5157-4951-9879-80EC1470B671}" xr6:coauthVersionLast="45" xr6:coauthVersionMax="45" xr10:uidLastSave="{00000000-0000-0000-0000-000000000000}"/>
  <bookViews>
    <workbookView xWindow="-120" yWindow="-120" windowWidth="28800" windowHeight="16110" tabRatio="927" xr2:uid="{00000000-000D-0000-FFFF-FFFF00000000}"/>
  </bookViews>
  <sheets>
    <sheet name="بدء" sheetId="2" r:id="rId1"/>
    <sheet name="أساسيات" sheetId="19" r:id="rId2"/>
    <sheet name="مقدمة حول الدالات" sheetId="16" r:id="rId3"/>
    <sheet name="AVERAGE" sheetId="1" r:id="rId4"/>
    <sheet name="الحد الأدنى والحد الأقصى" sheetId="11" r:id="rId5"/>
    <sheet name="التاريخ والوقت" sheetId="10" r:id="rId6"/>
    <sheet name="ضمّ النص والأرقام" sheetId="15" r:id="rId7"/>
    <sheet name="عبارات IF" sheetId="13" r:id="rId8"/>
    <sheet name="VLOOKUP" sheetId="9" r:id="rId9"/>
    <sheet name="الدالات الشرطية" sheetId="7" r:id="rId10"/>
    <sheet name="معالج الدالة" sheetId="20" r:id="rId11"/>
    <sheet name="أخطاء في الصيغة" sheetId="21" r:id="rId12"/>
    <sheet name="التعرّف على المزيد" sheetId="17" r:id="rId13"/>
  </sheets>
  <definedNames>
    <definedName name="_xlnm._FilterDatabase" localSheetId="1" hidden="1">أساسيات!$P$9:$Q$10</definedName>
    <definedName name="_xlnm._FilterDatabase" localSheetId="9" hidden="1">'الدالات الشرطية'!$F$2:$H$14</definedName>
    <definedName name="ExtraCredit" localSheetId="2">'مقدمة حول الدالات'!$F$9:$G$14</definedName>
    <definedName name="_xlnm.Extract" localSheetId="9">'الدالات الشرطية'!$AB$2</definedName>
    <definedName name="grp_WalkMeArrows">"shp_ArrowCurved,txt_WalkMeArrows,shp_ArrowStraight"</definedName>
    <definedName name="grp_WalkMeBrace">"shp_BraceBottom,txt_WalkMeBrace,shp_BraceLeft"</definedName>
    <definedName name="lst_Fruit">tbl_Fruit[فاكهة]</definedName>
    <definedName name="lst_FruitType">tbl_FruitType[تفاح]</definedName>
    <definedName name="MoreFruit" localSheetId="2">'مقدمة حول الدالات'!$C$34:$D$39</definedName>
    <definedName name="MoreItems" localSheetId="2">'مقدمة حول الدالات'!$C$44:$D$48</definedName>
    <definedName name="SalesTax">0.0825</definedName>
    <definedName name="SUMExtraCredit" localSheetId="2">'مقدمة حول الدالات'!$F$9:$G$14</definedName>
    <definedName name="الإجمالي" localSheetId="2">'مقدمة حول الدالات'!$D$50:$D$51</definedName>
    <definedName name="الأصناف" localSheetId="2">'مقدمة حول الدالات'!$C$9:$D$14</definedName>
    <definedName name="الشحن">1.25</definedName>
    <definedName name="اللحوم" localSheetId="2">'مقدمة حول الدالات'!$F$2:$G$6</definedName>
    <definedName name="برتقال">tbl_FruitType4[برتقال]</definedName>
    <definedName name="تفاح">tbl_FruitType[تفاح]</definedName>
    <definedName name="فاكهة" localSheetId="2">'مقدمة حول الدالات'!$C$2:$D$6</definedName>
    <definedName name="ليمون">tbl_FruitType5[ليمون]</definedName>
    <definedName name="موز">tbl_FruitType6[موز]</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10" l="1"/>
  <c r="F28" i="13" l="1" a="1"/>
  <c r="F28" i="13" s="1"/>
  <c r="E106" i="7" l="1"/>
  <c r="D36" i="10" l="1"/>
  <c r="A38" i="7"/>
  <c r="D10" i="20"/>
  <c r="G51" i="16"/>
  <c r="D12" i="13"/>
  <c r="D7" i="16"/>
  <c r="G7" i="19"/>
  <c r="D8" i="10"/>
  <c r="D9" i="21"/>
  <c r="J43" i="19"/>
  <c r="F35" i="13"/>
  <c r="G6" i="19"/>
  <c r="G5" i="19"/>
  <c r="G4" i="19"/>
  <c r="G3" i="19"/>
  <c r="G43" i="9"/>
  <c r="D43" i="9"/>
  <c r="F3" i="15"/>
  <c r="E3" i="15"/>
  <c r="H64" i="7"/>
  <c r="D64" i="7"/>
  <c r="D123" i="7"/>
  <c r="D51" i="16"/>
  <c r="G15" i="11"/>
  <c r="D39" i="16"/>
  <c r="D29" i="15"/>
  <c r="D28" i="15"/>
  <c r="D11" i="10"/>
  <c r="E31" i="13"/>
  <c r="D36" i="21"/>
  <c r="C32" i="15" l="1"/>
  <c r="C36" i="15"/>
  <c r="C33" i="15"/>
  <c r="C37" i="15"/>
  <c r="F31" i="13"/>
  <c r="F33" i="13" l="1"/>
  <c r="F37"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<sst xmlns="http://schemas.openxmlformats.org/spreadsheetml/2006/main" count="640" uniqueCount="315">
  <si>
    <t>البدء باستخدام الصيغ</t>
  </si>
  <si>
    <t>في خطوات قليلة فقط، ستكون جاهزاً للعمل باستخدام صيغ ودالات الإنشاء في Excel تطبيق جدول البيانات الأكثر فعالية في العالم.</t>
  </si>
  <si>
    <t>ارجع إلى الأعلى بالضغط على CTRL+ مفتاح HOME. لبدء الجولة اضغط على CTRL+PAGE DOWN.</t>
  </si>
  <si>
    <t>أساسيات: تنفيذ العمليات الرياضية باستخدام Excel</t>
  </si>
  <si>
    <t xml:space="preserve">يمكنك الإضافة والطرح والضرب والقسمة في Excel دون استخدام الدالات المضمنة. يجب أن تستخدم بعض عوامل التشغيل الأساسية: + و- و* و/. تبدأ كل الصيغ بعلامة يساوي (=).
</t>
  </si>
  <si>
    <t xml:space="preserve">للإضافة، حدد الخلية F3، اكتب =C3+C4، ثم اضغط على مفتاح الإدخال Enter. 
</t>
  </si>
  <si>
    <t xml:space="preserve">للطرح، حدد الخلية F4، واكتب =C3-C4 ثم اضغط على مفتاح الإدخال Enter. </t>
  </si>
  <si>
    <t xml:space="preserve">للضرب، حدد الخلية F5، واكتب =C3*C4 ثم اضغط على مفتاح الإدخال Enter.
</t>
  </si>
  <si>
    <t xml:space="preserve">للقسمة، حدد الخلية F6، واكتب =C3/C4، ثم اضغط على مفتاح الإدخال Enter. 
</t>
  </si>
  <si>
    <t>اطلع على ذلك : غير الأرقام الموجودة في الخلايا C3 و C4، وشاهد نتائج الصيغة تتغير تلقائياً.</t>
  </si>
  <si>
    <t>معلومة إضافية: يمكنك رفع قيمة إلى أس باستخدام الرمز (^)، مثل =A1^A2. قم بإدخاله باستخدام Shift+6. في الخلية F7، أدخل =C3^C4.</t>
  </si>
  <si>
    <t>انتقل إلى الأسفل لمزيد من التفاصيل</t>
  </si>
  <si>
    <t>الخطوة التالية</t>
  </si>
  <si>
    <t>المزيد حول الصيغ والخلايا والنطاقات</t>
  </si>
  <si>
    <t xml:space="preserve">يتكون Excel من خلايا فردية مجمعة في صفوف وأعمدة. يتم ترقيم الصفوف، ووضع حروف للأعمدة. يوجد أكثر من مليون صف و16000 عمود يمكنك وضع الصيغ في أي منها. 
</t>
  </si>
  <si>
    <t xml:space="preserve">يمكن أن تحتوي الصيغ على مراجع خلايا، نطاقات من مراجع الخلايا وعوامل التشغيل والثوابت. فيما يلي جميع أمثلة الصيغ:
=A1+B1
=10+20
=SUM(A1:A10)
</t>
  </si>
  <si>
    <t xml:space="preserve">فستلاحظ أن في المثال الثالث الوارد أعلاه، استخدمنا الدالة SUM. الدالة هي أمر معد مسبقاً يأخذ قيمة أو قيم ويحسبها بطريقة معينة ويرجع نتيجة. على سبيل المثال، تأخذ الدالة SUM مراجع الخلايا أو النطاقات التي قمت بتحديدها، وتحسب الإجمالي الخاص بها. في هذا المثال تأخذ الخلايا من A1 إلى A10، وتنتج الإجمالي الخاص بها. يتضمن Excel أكثر من 400 دالة، يمكنك استكشافها ضمن علامة التبويب صيغ.
</t>
  </si>
  <si>
    <t xml:space="preserve">الصيغ التي تحتوي على دالات تبدأ بعلامة يساوي، ثم يتبع اسم الدالة بالوسيطات الخاصة بها (قيم تستخدمها الدالة للحساب) يتم التفافها بين أقواس. 
</t>
  </si>
  <si>
    <t xml:space="preserve">يمكنك تأكيد صيغة عن طريق الضغط على مفتاح الإدخال Enter. بمجرد إجراء ذلك ستقوم الصيغة بالحساب، وسيتم عرض النتيجة في الخلية. للاطلاع على الصيغة نفسها، يمكنك إلقاء نظرة على شريط الصيغة أسفل الشريط، أو اضغط على F2 لدخول وضع التحرير، حيث يمكنك رؤية الصيغة في الخلية. اضغط على مفتاح الإدخال Enter مرة أخرى لإضفاء اللمسات الأخيرة على الصيغة وحساب النتيجة.
</t>
  </si>
  <si>
    <t>بعض توضيحات الصيغ</t>
  </si>
  <si>
    <t>=10*20 عبارة عن صيغة، حيث 10 و20 هما ثابتان، و العلامة * هي عامل التشغيل.</t>
  </si>
  <si>
    <t>=SUM(A1:A10) عبارة عن صيغة، حيث SUM هي اسم الدالة، وأقواس الفتح والإغلاق تحتوي على وسيطة الصيغة وA1:A10 هو نطاق الخلايا للدالة.</t>
  </si>
  <si>
    <t>=SUM(A1:A10,C1:C10) عبارة عن صيغة، حيث SUM هي اسم الدالة، وأقواس الفتح والإغلاق تحتوي على وسيطة الصيغة وA1:A10,C1:C10 هي نطاق الخلايا للدالة مفصولة بفاصلة.</t>
  </si>
  <si>
    <t xml:space="preserve">من الرائع معرفة أن: الثوابت هي قيم تقوم بإدخالها في الخلايا أو الصيغ. في حين أن =10+20 قد تحسب نفس قيمة =A1+B1، فإن الثوابت لا تعتبر ممارسة جيدة. لماذا؟ لأنه يتعذر عليك رؤية الثابت بسهولة دون تحديد الخلية والبحث عنه. وهذا يجعل التغيير وقت لاحق صعباً. أنها أسهل بكثير من وضع الثوابت الخاصة بك في الخلايا، حيث يمكن تعديلها بسهولة، والإشارة إليها في الصيغ.
على سبيل المثال: حدد الخلية الصفراء بـ 12 أدناه. سترى أننا استخدمنا الدالة SUM مع نطاق الخلايا. نحن لم نكتب "4" أو "8" مباشرة في الصيغة. 
</t>
  </si>
  <si>
    <t>السابق</t>
  </si>
  <si>
    <t>التالي</t>
  </si>
  <si>
    <t>المزيد من المعلومات على الويب</t>
  </si>
  <si>
    <t>استخدام Excel كحاسبة</t>
  </si>
  <si>
    <t>نظرة عامة حول الصيغ في Excel</t>
  </si>
  <si>
    <t xml:space="preserve">دالات Excel (حسب الفئة) </t>
  </si>
  <si>
    <t>دالات Excel (بالترتيب الأبجدي) </t>
  </si>
  <si>
    <t>التدريب المجاني على Excel عبر الإنترنت</t>
  </si>
  <si>
    <t>الأرقام التي يجب استخدامها:</t>
  </si>
  <si>
    <t>العملية:</t>
  </si>
  <si>
    <t xml:space="preserve">الإضافة (+) </t>
  </si>
  <si>
    <t xml:space="preserve">الطرح (-) </t>
  </si>
  <si>
    <t xml:space="preserve">الضرب (*) </t>
  </si>
  <si>
    <t xml:space="preserve">القسمة (/) </t>
  </si>
  <si>
    <t xml:space="preserve">الأس (^) </t>
  </si>
  <si>
    <t>الصيغ:</t>
  </si>
  <si>
    <t>الإجابات:</t>
  </si>
  <si>
    <t>القيم</t>
  </si>
  <si>
    <t>مقدمة حول الدالات</t>
  </si>
  <si>
    <t>تمنحك الدالات إمكانية القيام بمجموعة متنوعة من الأشياء، مثل إجراء عمليات حسابية أو البحث عن قيم أو حتى حساب التواريخ والأوقات. لنجرب بعض الطرق لإضافة القيم باستخدام الدالة SUM.</t>
  </si>
  <si>
    <t xml:space="preserve">ضمن العمود القيمة للفاكهة (الخلية D7)، قم بإدخال =SUM(D3:D6)، أو اكتب =SUM(، ثم حدد ذلك النطاق باستخدام الماوس، واضغط على مفتاح الإدخال Enter. سيتم جمع القيم في الخلايا D3 وD4 وD5 وD6. يجب أن تكون الإجابة 170.
</t>
  </si>
  <si>
    <t>فيما يلي اختصار لوحة مفاتيح منظمة. حدد الخلية D15، ثم اضغط على Alt =، ثم مفتاح الإدخال Enter. يتم إدخال SUM تلقائياً بالنيابة عنك.</t>
  </si>
  <si>
    <t>معلومة إضافية
جرب الدالة COUNT باستخدام أي من الأساليب التي جربتها مسبقاً. تحسب الدالة COUNT عدد الخلايا في نطاق يحتوي على أرقام.</t>
  </si>
  <si>
    <t>المزيد حول الدالات</t>
  </si>
  <si>
    <t>انتقل إلى علامة التبويب الصيغ واستعرض "مكتبة الدالات"، حيث يتم إدراج الدالات حسب الفئة، مثل النص والتاريخ والوقت وغير ذلك. "إدراج دالة" سيسمح لك بالبحث عن الدالات حسب الاسم، وتشغيل معالج الدالة الذي يمكن أن يساعدك في إنشاء الصيغة الخاصة بك. 
عندما تبدأ بكتابة اسم دالة بعد الضغط على =، سيفتح Excel Intellisense، حيث سيدرج كافة الدالات التي تبدأ بالحروف التي كتبتها. عند العثور على الخيار الذي تريده، اضغط على المفتاح Tab، وسيقوم Excel بإنهاء اسم الدالة وإدخال قوس الفتح نيابة عنك. سيتم عرض الوسيطات الاختيارية والمطلوبة أيضاً. 
الآن دعنا نتعرف على تكوين بعض الدالات. تتم هيكلة SUM كما يلي:</t>
  </si>
  <si>
    <t xml:space="preserve">إذا كان يمكن للصيغة أن تتحدث فالرسالة كالآتي، إرجاع مجموع كل القيم في الخلايا من D35 إلى D38، والعمود H. SUM هو اسم الدالة، وD35:D38 هي وسيطة النطاق الأولى، ودائماً ما تكون مطلوبة، وH:H وسيطة النطاق الثانية، مفصولة بفاصلة. والآن، دعنا نجرب واحدة لا تتطلب أي وسيطة.
</t>
  </si>
  <si>
    <t>ترجع الدالة TODAY تاريخ اليوم. سيتم تحديثها تلقائياً عندما يقوم Excel بإعادة الحساب.</t>
  </si>
  <si>
    <t xml:space="preserve">تفاصيل مهمة
انقر نقراً مزدوجاً فوق هذه الخلية. ستلاحظ 100 في النهاية. على الرغم من أنه من الممكن وضع الأرقام في صيغة مماثلة لما يلي، إلا إننا لا نوصي بها إلا للضرورة. يعرف ذلك بالثابت، ومن السهل إذا نسيت أنه هناك. نحن ننصحك بالرجوع إلى خلية أخرى بدلاً من تلك، مثل الخلية F51. بهذه الطريقة تصبح سهلة الرؤية وغير مخفية داخل صيغة. </t>
  </si>
  <si>
    <t>كافة المعلومات حول الدالة SUM</t>
  </si>
  <si>
    <t>استخدام الجمع التلقائي لجمع الأرقام</t>
  </si>
  <si>
    <t>كافة المعلومات حول الدالة COUNT</t>
  </si>
  <si>
    <t>الرجوع إلى أعلى</t>
  </si>
  <si>
    <t>ارجع إلى الأعلى بالضغط على CTRL+ مفتاح HOME. للمتابعة إلى الخطوة التالية، اضغط على مفتاح PAGE DOWN‏+CTRL.</t>
  </si>
  <si>
    <t>فاكهة</t>
  </si>
  <si>
    <t>تفاح</t>
  </si>
  <si>
    <t>برتقال</t>
  </si>
  <si>
    <t>موز</t>
  </si>
  <si>
    <t>ليمون</t>
  </si>
  <si>
    <t xml:space="preserve">SUM &gt; </t>
  </si>
  <si>
    <t>الصنف</t>
  </si>
  <si>
    <t>الخبز</t>
  </si>
  <si>
    <t>الكعك المقلي</t>
  </si>
  <si>
    <t>البسكويت</t>
  </si>
  <si>
    <t>الكعك</t>
  </si>
  <si>
    <t>الفطائر</t>
  </si>
  <si>
    <t>السيارات</t>
  </si>
  <si>
    <t>شاحنات</t>
  </si>
  <si>
    <t>دراجة</t>
  </si>
  <si>
    <t>ألواح</t>
  </si>
  <si>
    <t>القيمة</t>
  </si>
  <si>
    <t>المبلغ</t>
  </si>
  <si>
    <t>الإجمالي:</t>
  </si>
  <si>
    <t>اللحوم</t>
  </si>
  <si>
    <t>لحم بقري</t>
  </si>
  <si>
    <t>دجاج</t>
  </si>
  <si>
    <t>لحم ماعز</t>
  </si>
  <si>
    <t>سمك</t>
  </si>
  <si>
    <t>COUNT &gt;</t>
  </si>
  <si>
    <t>قيمة إضافية:</t>
  </si>
  <si>
    <t>الإجمالي الجديد</t>
  </si>
  <si>
    <t>الدالة AVERAGE</t>
  </si>
  <si>
    <t xml:space="preserve">اطلع على ذلك
حدد أي نطاق من الأرقام، ثم ابحث في شريط الحالة عن متوسط فوري.
</t>
  </si>
  <si>
    <t>تنشيط الورقة السابقة</t>
  </si>
  <si>
    <t>الانتقال إلى الورقة التالية</t>
  </si>
  <si>
    <t xml:space="preserve">معلومة إضافية
جرّب استخدام MEDIAN أو MODE هنا. 
MEDIAN يقدم لك القيمة الموجودة في الجزء الأوسط من مجموعة البيانات، بينما 
MODE يقدم لك الخيار الأكثر حدوثاً.
</t>
  </si>
  <si>
    <t>ارتباطات للمزيد من المعلومات على الويب</t>
  </si>
  <si>
    <t>حدد للتعرف على كافة المعلومات حول الدالة AVERAGE على الويب</t>
  </si>
  <si>
    <t>حدد للتعرف على كافة المعلومات حول الدالة MEDIAN على الويب</t>
  </si>
  <si>
    <t>حدد للتعرف على كافة المعلومات حول الدالة MODE على الويب</t>
  </si>
  <si>
    <t>حدد للتعرف على تدريب Excel المجاني من الويب</t>
  </si>
  <si>
    <t>AVERAGE &gt;</t>
  </si>
  <si>
    <t xml:space="preserve">المزيد حول الدالة SUM </t>
  </si>
  <si>
    <t>في بعض التلميحات الواردة أعلاه، لقد تعرّفت على كيفية استخدام الدالة SUM. فيما يلي المزيد من التفاصيل حول ذلك.</t>
  </si>
  <si>
    <t xml:space="preserve">تتضمن الخلايا C37 حتى D41 بيانات ذات عمودين: الفاكهة والقيمة. </t>
  </si>
  <si>
    <t>الصيغة في الخلية D42‏: =SUM‏(D38‏:D41).</t>
  </si>
  <si>
    <t>إذا كان يمكن للدالة SUM في الخلية D42 أن تتحدث، فالرسالة كالآتي: قم بتجميع القيم الموجودة في الخلايا D38 وD39 وD40 وD41.</t>
  </si>
  <si>
    <t>فيما يلي طريقة أخرى يمكن استخدامها:</t>
  </si>
  <si>
    <t xml:space="preserve">تتضمن الخلايا C47 حتى D48 بيانات ذات عمودين: الصنف والقيمة. </t>
  </si>
  <si>
    <t>كافة المعلومات حول الدالة SUMIF</t>
  </si>
  <si>
    <t>استخدام Excel كحاسبتك الشخصية</t>
  </si>
  <si>
    <t>الدالتان MIN وMAX</t>
  </si>
  <si>
    <t xml:space="preserve">حدد الخلية D7، ثم استخدم معالج الجمع التلقائي لإضافة الدالة MIN.
</t>
  </si>
  <si>
    <t xml:space="preserve">الآن حدد الخلية G7، وأدخل الدالة MAX عن طريق كتابة =MAX(D3:D6).
</t>
  </si>
  <si>
    <t xml:space="preserve">في الخلية D15، يمكنك استخدام معالج الجمع التلقائي، أو الكتابة لإدخال الدالة MIN أو MAX. 
</t>
  </si>
  <si>
    <t xml:space="preserve">المزيد من المعلومات على الويب
</t>
  </si>
  <si>
    <t>كافة المعلومات حول الدالة MIN</t>
  </si>
  <si>
    <t>كافة المعلومات حول الدالة MAX</t>
  </si>
  <si>
    <t xml:space="preserve">من الرائع معرفة أن
يمكنك استخدام إما MIN أو MAX مع عدة نطاقات أو قيم لعرض القيم الأكبر أو الأقل لتلك القيم، مثل =MIN(A1:A10,B1:B10)، أو =MAX(A1:A10,B1)، حيث B1 تحتوي على قيمة الحد، مثل 10، في هذه الحالة لن ترجع الصيغة نتيجة أقل من 10.
</t>
  </si>
  <si>
    <t>MIN &gt;</t>
  </si>
  <si>
    <t>MIN أو MAX &gt;</t>
  </si>
  <si>
    <t>MAX &gt;</t>
  </si>
  <si>
    <t>دالات التاريخ</t>
  </si>
  <si>
    <t>يمكن أن يقدم لك Excel التاريخ الحالي، استناداً إلى الإعدادات الإقليمية للكمبيوتر الخاص بك. يمكنك أيضاً إضافة التواريخ وطرحها.</t>
  </si>
  <si>
    <t xml:space="preserve">ألق نظرة على الدالة TODAY، التي تقدم لك تاريخ اليوم. هذه دالات متغيرة أو مباشرة، لذا عندما تفتح هذا المصنف الخاص بك غداً، سيكون لك تاريخ الغد. أدخل =TODAY() في الخلية D6. 
</t>
  </si>
  <si>
    <t xml:space="preserve">طرح التواريخ - أدخل تاريخ ميلادك القادم بالتنسيق ش ش/ي ي/س س في الخلية D7، وسترى Excel يخبرك بعدد الأيام المتبقية عليه باستخدام =D7-D6 في الخلية D8.
</t>
  </si>
  <si>
    <t xml:space="preserve">إضافة تواريخ - لنفترض أنك تريد معرفة تاريخ الفاتورة المستحق، أو عندما تحتاج إلى إرجاع كتاب إلى المكتبة. يمكنك إضافة أيام إلى تاريخ للتعرف عليه. في الخلية D10، أدخل رقماً عشوائياً للأيام. في الخلية D11، قمنا بإضافة =D6+D10 لحساب تاريخ الاستحقاق من اليوم.
</t>
  </si>
  <si>
    <t xml:space="preserve">من الرائع معرفة أن
يحتفظ Excel بالتواريخ والأوقات استناداً إلى عدد الأيام بدءاً من 1 يناير 1900. يتم الاحتفاظ بالأوقات بأجزاء كسرية من اليوم استناداً إلى الدقائق. لذا يتم تخزين 2017/01/01 12:30 م فعلياً كـ 42736.5208. إذا ظهر التاريخ أو الوقت كأرقام من هذا القبيل، فيمكنك الضغط على Ctrl+1 &gt; رقم &gt; تحديد تنسيق التاريخ أو الوقت. </t>
  </si>
  <si>
    <t>دالات الوقت</t>
  </si>
  <si>
    <t xml:space="preserve">يمكن أن يقدم لك Excel الوقت الحالي، استناداً إلى الإعدادات الإقليمية للكمبيوتر الخاص بك. يمكنك أيضاً إضافة أوقات وطرحها. على سبيل المثال، قد تحتاج إلى تعقب عدد الساعات التي عملها الموظف كل أسبوع، وحساب الأجر والعمل الإضافي له.
</t>
  </si>
  <si>
    <t xml:space="preserve">في الخلية D28، أدخل =NOW()، حيث يتم تقديم الوقت الحالي، وسيتم تحديث كل وقت يحتسبه Excel. إذا كنت بحاجة إلى تغيير تنسيق الوقت، يمكنك الانتقال إلى Ctrl+1 &gt; رقم &gt; وقت &gt; تحديد التنسيق الذي تريده.
</t>
  </si>
  <si>
    <t xml:space="preserve">إضافة ساعات بين الأوقات - في الخلية D36 قمنا بإدخال =((D35-D32)-(D34-D33))*24، حيث تحسب أوقات البدء والنهاية لشخص ما، ثم تطرح الوقت الذي استغرقه لتناول الغداء. تحول *24 الموجودة في نهاية الصيغة الجزء الكسري من اليوم الذي يراه Excel إلى ساعات. بالرغم من ذلك يجب تنسيق الخلية كرقم. للقيام بذلك، انتقل إلى الصفحة الرئيسية &gt; تنسيق &gt; الخلايا (Ctrl+1) &gt; رقم &gt; رقم &gt; رقمين عشريين.
</t>
  </si>
  <si>
    <t>إذا كان يمكن للصيغة أن تتحدث فالرسالة كالآتي "حساب وقت الانصراف وطرحه من وقت الحضور، ثم طرح أوقات تسجيل الخروج/الدخول للغداء، ثم ضرب كل هذا في 24 لتحويل الأجزاء الكسرية من الوقت في Excel إلى ساعات"، أو =((Time In - Time Out)-(Lunch In - Lunch Out))*24.</t>
  </si>
  <si>
    <t>كافة المعلومات حول الدالة TODAY</t>
  </si>
  <si>
    <t>كافة المعلومات حول الدالة NOW</t>
  </si>
  <si>
    <t>كافة المعلومات حول الدالة DATE</t>
  </si>
  <si>
    <t>تاريخ اليوم:</t>
  </si>
  <si>
    <t>تاريخ الميلاد:</t>
  </si>
  <si>
    <t>الأيام حتى تاريخ ميلادك:</t>
  </si>
  <si>
    <t>أيام فترة السماح:</t>
  </si>
  <si>
    <t>موعد استحقاق فاتورة في:</t>
  </si>
  <si>
    <t>الوقت الحالي:</t>
  </si>
  <si>
    <t>ساعات العمل اليومية</t>
  </si>
  <si>
    <t>وقت الحضور:</t>
  </si>
  <si>
    <t>الخروج إلى الغداء:</t>
  </si>
  <si>
    <t>الدخول من الغداء:</t>
  </si>
  <si>
    <t>وقت الانصراف:</t>
  </si>
  <si>
    <t>إجمالي عدد الساعات:</t>
  </si>
  <si>
    <t>التاريخ والوقت الثابتان</t>
  </si>
  <si>
    <t>التاريخ:</t>
  </si>
  <si>
    <t>الوقت:</t>
  </si>
  <si>
    <t>ضم نص من خلايا مختلفة</t>
  </si>
  <si>
    <t xml:space="preserve">هناك عدة أوقات في Excel عندما تريد ضم نص موجود في خلايا مختلفة. هذا المثال شائع، حيث يكون لديك الاسم الأول واسم العائلة، وتريد دمجهما كاسم أول أو اسم عائلة أو الاسم بالكامل. لحسن الحظ، Excel يتيح لنا إجراء ذلك باستخدام علامة العطف (&amp;) التي يمكنك إدخالها باستخدام Shift+7.
</t>
  </si>
  <si>
    <t xml:space="preserve">في الخلية E3، أدخل =D3&amp;C3 لدمج الاسم الأول واسم العائلة. 
</t>
  </si>
  <si>
    <t xml:space="preserve">لا يبدو اللامي عائشة صحيحاً تماماً على الرغم من ذلك. يجب أن نضيف فاصلة ومسافة. للقيام بذلك سنستخدم علامات الاقتباس لإنشاء سلسلة نصية جديدة. هذه المرة، أدخل =D3&amp;", "&amp;C3. يتيح لنا الجزء &amp;", "&amp; ضم فاصلة ومسافة بالنص في الخلايا.
</t>
  </si>
  <si>
    <t xml:space="preserve">لإنشاء اسم بالكامل، سنضم الاسم الأول واسم العائلة، ولكن سنستخدم مسافة بدون فاصلة. في F3، أدخل =C3&amp;" "&amp;D3.
</t>
  </si>
  <si>
    <t>استخدام النص والأرقام معاً</t>
  </si>
  <si>
    <t>الآن سنستخدم الرمز "&amp;" لدمج نص وأرقام وليس نص ونص فقط.
إلقاء نظرة على الخلايا C28:D29. معرفة كيف يكون التاريخ والأوقات في خلايا منفصلة؟ كما يمكنك ضمهما معاً مع الرمز "&amp;" كما سترى في الخلايا C32:C33، ولكن لا تبدو صحيحة، أليس كذلك؟ لسوء الحظ، لا يعرف Excel الطريقة التي تريد تنسيق الأرقام بها، لذلك سيقسمها لأقل تنسيق لديها، وهو التاريخ المتسلسل في هذه الحالة. يجب إعلام Excel بكل وضوح عن كيفية تنسيق جزء رقم الصيغة، بحيث تعرض الطريقة التي تريدها في السلسلة النصية الناتجة. يمكنك القيام بذلك باستخدام الدالة TEXT ورمز التنسيق.</t>
  </si>
  <si>
    <t xml:space="preserve">في الخلية C36، أدخل =C28&amp;" "&amp;TEXT(D28,"MM/DD/YYYY"). MM/DD/YYYY هو رمز تنسيق الولايات المتحدة للشهر/اليوم/السنة، مثل 09/25/2017.
</t>
  </si>
  <si>
    <t xml:space="preserve">في الخلية C37، أدخل =C29&amp;" "&amp;TEXT(D29,"HH:MM AM/PM"). HH:MM AM/PM هو رمز تنسيق الولايات المتحدة للساعات: الدقائق صباحاً أو مساءً، مثل 1:30 م.
</t>
  </si>
  <si>
    <t>اطلع على ذلك
الصيغ، لا سيما الصيغ الكبيرة، في بعض الأحيان تكون صعبة القراءة، ولكن يمكنك تقسيمها إلى أجزاء باستخدام مسافات كما يلي:
=C28 &amp; " " &amp; TEXT(D28,"MM/DD/YYYY")</t>
  </si>
  <si>
    <t>تستحق الاكتشاف
إذا لم تكن تعرف أي رمز تنسيق تستخدمه، فيمكنك استخدام Ctrl+1 &gt; الرقم لتنسيق أي خلية بالطريقة التي تريدها. ثم حدد خيار مخصص. يمكنك نسخ رمز التنسيق الذي تم عرضه مرة أخرى للصيغة الخاصة بك.</t>
  </si>
  <si>
    <t>كافة المعلومات حول الدالة TEXT</t>
  </si>
  <si>
    <t>دمج النص والأرقام</t>
  </si>
  <si>
    <t>الاسم الأول</t>
  </si>
  <si>
    <t>عائشة</t>
  </si>
  <si>
    <t>مختار</t>
  </si>
  <si>
    <t>جبران</t>
  </si>
  <si>
    <t>ملكة</t>
  </si>
  <si>
    <t>سالم</t>
  </si>
  <si>
    <t>رجب</t>
  </si>
  <si>
    <t>جميل</t>
  </si>
  <si>
    <t>علياء</t>
  </si>
  <si>
    <t>استخدام النص والأرقام</t>
  </si>
  <si>
    <t>ضم النص والأرقام</t>
  </si>
  <si>
    <t>تنسيق النص والأرقام</t>
  </si>
  <si>
    <t>اسم العائلة</t>
  </si>
  <si>
    <t>اللامي</t>
  </si>
  <si>
    <t>سراف</t>
  </si>
  <si>
    <t>صباغ</t>
  </si>
  <si>
    <t>أسود</t>
  </si>
  <si>
    <t>بيطار</t>
  </si>
  <si>
    <t>قريشي</t>
  </si>
  <si>
    <t>زاهر</t>
  </si>
  <si>
    <t>ناتشي</t>
  </si>
  <si>
    <t>الاسم الأول واسم العائلة</t>
  </si>
  <si>
    <t>الاسم بالكامل</t>
  </si>
  <si>
    <t>عبارات IF</t>
  </si>
  <si>
    <t>عبارات IF تسمح لك بإجراء مقارنات منطقية بين الشروط. بشكل عام تشير عبارة IF أنه إذا كان أحد الشروط صواب فقم بشيء ما، وبخلاف ذلك، قم بأي شيء آخر. يمكن للصيغ الموجودة أن تقوم بإرجاع النص أو القيم أو حتى المزيد من العمليات الحسابية.</t>
  </si>
  <si>
    <t xml:space="preserve">في الخلية D9 قم بإدخال =IF(C9="Apple",TRUE,FALSE). الإجابة الصحيحة هي TRUE. 
</t>
  </si>
  <si>
    <t xml:space="preserve">نسخ D9 إلى D10. يجب أن تكون الإجابة هنا FALSE، لأن برتقال ليس تفاح.
</t>
  </si>
  <si>
    <t xml:space="preserve">جرب مثالاً آخر بالاطلاع على الصيغة الموجودة في الخلية D12. لقد جعلنك تبدأ بـ =IF(C12&lt;100,"Less than 100","Greater than 100"). ماذا يحدث إذا قمت بإدخال رقم أكبر من 100 في الخلية C12؟
</t>
  </si>
  <si>
    <t>تفاصيل مهمة
TRUE وFALSE عكس الكلمات الأخرى في صيغ Excel في أنها لا يلزم أن تكون في علامات اقتباس، وأن Excel سيجعلهما بحروف كبيرة تلقائياً. لا يلزم أن تكون الأرقام بين علامتي اقتباس كذلك. النص العادي، مثل نعم أو لا يحتاج إلى أن يكون في علامات اقتباس كما في المثال التالي: 
=IF(C9="Apple","Yes","No")</t>
  </si>
  <si>
    <t>عبارة IF مع دالة أخرى</t>
  </si>
  <si>
    <t xml:space="preserve">يمكن أيضاً أن تفرض عبارات IF أن يتم تنفيذ عمليات حسابية إضافية إذا تحقق شرط معين. هنا سنقوم بتقييم خلية لرؤية ما إذا كان يجب فرض ضريبة المبيعات، ويتم حسابها إذا كان الشرط صواباً.
</t>
  </si>
  <si>
    <t>في الخلية F33، قمنا بإدخال =IF(E33="Yes",F31*SalesTax,0)، حيث أننا قمنا بإعداد SalesTax كنطاق مسمى بقيمة 0.0825. تشير الصيغة إلى أنه في حالة ما إذا كانت الخلية E33 تساوي نعم، فقم بإجراء عملية ضرب الخلية F31 في SalesTax، وبخلاف ذلك يتم إرجاع 0.
حاول تغيير نعم إلى لا في الخلية E33 للاطلاع على تغيير العملية الحسابية.</t>
  </si>
  <si>
    <t xml:space="preserve">بعد ذلك، قمنا بإضافة عبارة IF لحساب الشحن إذا كان مطلوباً. في الخلية F35 ستتمكن من رؤية =IF(E35="Yes",SUM(D28:D29)*1.25,0). يشير هذا إلى أنه "في حالة ما إذا كانت الخلايا E35 نعم، فخذ مجموع عمود الكمية في الجدول أعلاه وقم بإجراء عملية ضرب عليه في 1.25، وبخلاف ذلك يتم إرجاع 0"
</t>
  </si>
  <si>
    <t xml:space="preserve">بعد ذلك، قم بتغيير 1.25 في الصيغة في الخلية F35 إلى "شحن". عند بدء الكتابة، يجب أن يعثر التصحيح التلقائي في Excel التلقائي عليه نيابة عنك. عندما يحدث ذلك، اضغط على Tab لإدخاله. هذا نطاق مسمى، وقمنا بإدخاله من الصيغ &gt; تعريف اسم. والآن، إذا كنت بحاجة لتغيير تكلفة الشحن الخاص بك، يجب عليك القيام بذلك في مكان واحد، ويمكنك استخدام اسم الشحن في أي مكان في المصنف.
</t>
  </si>
  <si>
    <t>من الرائع معرفة أن
عند إنشاء صيغة، سيقوم Excel تلقائياً بوضع حدود ملونة حول أي نطاقات مشار إليها في الصيغة، وستصبح النطاقات المقابلة في الصيغة بنفس اللون. يمكنك الاطلاع على هذا إذا قمت بتحديد الخلية F33 والضغط على F2 لتحرير الصيغة.</t>
  </si>
  <si>
    <t xml:space="preserve">تلميح الخبراء
النطاقات المسماة تسمح لك بتحديد الشروط أو القيم في مكان واحد، ثم إعادة استخدامها خلال مصنف. يمكنك رؤية جميع النطاقات المسماة في هذا المصنف عن طريق الانتقال إلى الصيغ &gt; إدارة الأسماء. انقر هنا للتعرّف على المزيد
</t>
  </si>
  <si>
    <t>كافة المعلومات حول الدالة IF</t>
  </si>
  <si>
    <t>كافة المعلومات حول الدالة IFS</t>
  </si>
  <si>
    <t>عبارات IF متقدمة</t>
  </si>
  <si>
    <t>ميزة إنشاء الملاحظات</t>
  </si>
  <si>
    <t>دوهيكيي</t>
  </si>
  <si>
    <t>الكمية</t>
  </si>
  <si>
    <t>الإجمالي الفرعي</t>
  </si>
  <si>
    <t>ضريبة المبيعات؟</t>
  </si>
  <si>
    <t>الشحن؟</t>
  </si>
  <si>
    <t>الإجمالي</t>
  </si>
  <si>
    <t>التكلفة</t>
  </si>
  <si>
    <t>VLOOKUP</t>
  </si>
  <si>
    <t xml:space="preserve">الدالة VLOOKUP واحدة من الدالات المنتشرة بشكل واسع في Excel (وواحدة من أدواتنا المفضلة جداً!). تتيح لك الدالة VLOOKUP إمكانية البحث عن قيمة في عمود على الجانب الأيمن، ثم تقوم بإرجاع المعلومات في عمود آخر على الجانب الأيسر إذا عثرت على مطابقة. تشير VLOOKUP إلى:
</t>
  </si>
  <si>
    <t>=VLOOKUP(A1,B:C,2,FALSE)</t>
  </si>
  <si>
    <t>ما الذي تريد البحث عنه؟</t>
  </si>
  <si>
    <t>إذا عثرت عليه، كم عمود على الجانب الأيسر تريد الحصول على القيمة فيه؟</t>
  </si>
  <si>
    <t>أين تريد البحث عنه؟</t>
  </si>
  <si>
    <t>هل تريد الحصول على تطابق تام أم تقريبي؟</t>
  </si>
  <si>
    <t xml:space="preserve">في الخلية D22، أدخل =VLOOKUP(C22,C17:D20,2,FALSE). الإجابة الصحيحة للتفاح هي 50. الدالة VLOOKUP بحثت عن تفاح، ووجدته، ثم انتقلت عموداً واحداً إلى اليمين، وقامت بإرجاع القيمة.
</t>
  </si>
  <si>
    <t xml:space="preserve">والآن جرب بنفسك في المقطع لحوم، في الخلية G22. يجب أن ينتهي الأمر بـ =VLOOKUP(F22,F17:G20,2,FALSE).
</t>
  </si>
  <si>
    <t>تجربة
حاول تحديد عناصر مختلفة من القوائم المنسدلة. ستتمكن من رؤية خلايا النتائج فوراً تحدث أنفسها بالقيم الجديدة.</t>
  </si>
  <si>
    <t>VLOOKUP و#N/A</t>
  </si>
  <si>
    <t xml:space="preserve">وبشكل دائم، ستواجه موقف حيث لا تستطيع الدالة VLOOKUP إيجاد ما طلبته، وترجع الخطأ (#N/A). في بعض الأحيان، يكون بسبب عدم وجود قيمة البحث، أو قد يكون نظراً لأن الخلية المرجعية لا تحتوي على قيمة حتى الآن.
</t>
  </si>
  <si>
    <t xml:space="preserve">إذا كنت تعرف أن قيمة البحث موجودة، ولكنك تريد إخفاء الخطأ إذا كانت خلايا البحث فارغة، يمكنك استخدام عبارة IF. في هذه الحالة، سنقوم بالتفاف صيغة VLOOKUP الموجود كما يلي في الخلية D43:
=IF(C43="","",VLOOKUP(C43,C37:D41,2,FALSE))
هذا يشير إلى أنه إذا كانت الخلية C43 تساوي لا شيء ("")، يتم إرجاع لا شيء، بخلاف ذلك يتم إرجاع نتائج الدالة VLOOKUP. لاحظ أقواس الإغلاق الثانية في نهاية الصيغة. تغلق عبارة IF.
</t>
  </si>
  <si>
    <t>تفاصيل مهمة
الدالة IFERROR وهي ما تعرف كمعالج شامل للأخطاء، مما يعني أنها ستمنع أي خطأ قد يحدث بالصيغة الخاصة بك. هذا قد يسبب مشاكل إذا كان Excel يوفر لك إشعاراً يفيد بأن الصيغة الخاصة بك تحتوي على خطأ مرخص يحتاج للإصلاح.
القاعدة الأساسية هي عدم إضافة معالجات الأخطاء إلى الصيغ حتى تتأكد تماماً من عملها بشكل صحيح.</t>
  </si>
  <si>
    <t>كافة المعلومات حول الدالة VLOOKUP</t>
  </si>
  <si>
    <t>كافة المعلومات حول الدالتين INDEX/MATCH</t>
  </si>
  <si>
    <t>كافة المعلومات حول الدالة IFERROR</t>
  </si>
  <si>
    <t>استخدام PivotTable لتحليل بيانات ورقة العمل</t>
  </si>
  <si>
    <t>معجنات</t>
  </si>
  <si>
    <t>الدالات الشرطية - SUMIF</t>
  </si>
  <si>
    <t>الدالات الشرطية تتيح لك جمع النطاق أو حساب متوسطه أو عده أو الحصول على الحد الأدنى والحد الأقصى له استناداً إلى شرط معين، أو معايير قمت بتحديدها. على سبيل المثال، من جميع الفواكه الموجودة في القائمة، كم عدد التفاح؟ أو، كم عدد البرتقال من النوع فلوريدا؟</t>
  </si>
  <si>
    <t>تتيح لك SUMIF التجميع في نطاق واحد استناداً إلى معايير معينة تبحث عنها في نطاق آخر، مثل عدد التفاح الذي لديك. حدد الخلية D17 واكتب =SUMIF(C3:C14,C17,D3:D14). تتم هيكلة SUMIF كما يلي:</t>
  </si>
  <si>
    <t>=SUMIF(C3:C14,C17,D3:D4)</t>
  </si>
  <si>
    <t>ما هو النطاق الذي تريد إلقاء نظرة عليه؟</t>
  </si>
  <si>
    <t>ما هي القيمة (نص أو رقم) التي تريد البحث عنها؟</t>
  </si>
  <si>
    <t>لكل تطابق تجده، ما هو النطاق الذي تريد الجمع فيه؟</t>
  </si>
  <si>
    <t xml:space="preserve">الدالة SUMIFS هي نفس الدالة SUMIF، ولكنها تتيح لك استخدام معايير متعددة. وبالتالي في هذا المثال، يمكنك البحث عن الفاكهة والنوع، بدلاً من الفاكهة فقط. حدد الخلية H17 واكتب =SUMIFS(H3:H14,F3:F14,F17,G3:G14,G17). تتم هيكلة SUMIFS كما يلي:
</t>
  </si>
  <si>
    <t>=SUMIFS(H3:H14,F3:F14,F17,G3:G14,G17)</t>
  </si>
  <si>
    <t>ما هو النطاق الذي تريد جمعه؟</t>
  </si>
  <si>
    <t>هذا هو النطاق الأول للبحث فيه على مطابقات</t>
  </si>
  <si>
    <t>هذه هي معايير التطابق الأول</t>
  </si>
  <si>
    <t>هذا هو النطاق الثاني للبحث فيه على مطابقات</t>
  </si>
  <si>
    <t>هذه هي معايير التطابق الثاني</t>
  </si>
  <si>
    <t>تلميح الخبراء
تحتوي كل واحدة من خلايا الفاكهة والنوع على قائمة منسدلة حيث يمكنك تحديد فاكهة مختلفة. جرب بنفسك، وشاهد تحديث الصيغ تلقائياً.</t>
  </si>
  <si>
    <t>الدالات الشرطية - COUNTIF</t>
  </si>
  <si>
    <t>تتيح لك كل من COUNTIF وCOUNTIFS حساب عدد القيم في نطاق استناداً إلى المعايير التي تحددها. تكون مختلفة قليلاً عن دالتي IF وIFS، في أن لديها نطاق معايير فقط، ومعايير. لا تقيم نطاق واحد، وتبحث في نطاق آخر للتلخيص.</t>
  </si>
  <si>
    <t>حدد الخلية D64 واكتب =COUNTIF(C50:C61,C64). تتم هيكلة COUNTIF كما يلي:</t>
  </si>
  <si>
    <t>=COUNTIF(C50:C61,C64)</t>
  </si>
  <si>
    <t xml:space="preserve">الدالة COUNTIFS هي نفس الدالة SUMIF، ولكنها تتيح لك استخدام معايير متعددة. وبالتالي في هذا المثال، يمكنك البحث عن الفاكهة والنوع، بدلاً من الفاكهة فقط. حدد الخلية H64 واكتب =COUNTIFS(F50:F61,F64,G50:G61,G64). تتم هيكلة COUNTIFS كما يلي:
</t>
  </si>
  <si>
    <t>=COUNTIFS(F50:F61,F64,G50:G61,G64)</t>
  </si>
  <si>
    <t>هذا هو النطاق الأول للحساب</t>
  </si>
  <si>
    <t>هذا هو النطاق الثاني للحساب</t>
  </si>
  <si>
    <t>دالات شرطية إضافية</t>
  </si>
  <si>
    <t xml:space="preserve">لقد رأيت SUMIF وSUMIFS وCOUNTIF وCOUNTIFS بالفعل. الآن يمكنك التجربة بنفسك باستخدام دالات أخرى، مثل AVERAGEIF/S وMAXIFS وMINIFS. تتم هيكلة الجميع بالطريقة نفسها، وبالتالي، فبمجرد كتابة صيغة واحدة، ما عليك سوى استبدال اسم الدالة بالخيار الذي تريده. لقد كتبنا كافة الدالات التي ستحتاج إليها للخلية E106، حيث يمكنك نسخها/لصقها، أو محاولة كتابتها بنفسك لممارسة.
SUMIF 	=SUMIF(C92:C103,C106,E92:E103) 
SUMIFS 	=SUMIFS(E92:E103,C92:C103,C106,D92:D103,D106) 
AVERAGEIF 	=AVERAGEIF(C92:C103,C106,E92:E103) 
AVERAGEIFS	=AVERAGEIFS(E92:E103,C92:C103,C106,D92:D103,D106)
COUNTIF 	=COUNTIF(C92:C103,C106)
COUNTIFS 	=COUNTIFS(C92:C103,C106,D92:D103,D106) 
MAXIFS 	=MAXIFS(E92:E103,C92:C103,C106,D92:D103,D106)
MINIFS 	=MINIFS(E92:E103,C92:C103,C106,D92:D103,D106)
</t>
  </si>
  <si>
    <t>SUMIF مع وسيطة قيمة</t>
  </si>
  <si>
    <t>فيما يلي مثال على الدالة SUMIF باستخدام أكبر من &gt; للعثور على كافة القيم الأكبر من القيمة المقدمة:</t>
  </si>
  <si>
    <t>قم بجمع بعض القيم استناداً إلى هذه المعايير:</t>
  </si>
  <si>
    <t>....استعرض هذه الخلايا...
 </t>
  </si>
  <si>
    <t>...وإذا كانت القيمة أكبر من 50، فقم بجمعها.
 </t>
  </si>
  <si>
    <t>ملاحظة: في حال وجدت أنك تقوم بإنشاء عدد كبير من الصيغ الشرطية، فقد تجد أن إدراج PivotTable هو الحل الأفضل. راجع مقالة PivotTable لمزيد من المعلومات.</t>
  </si>
  <si>
    <t>كافة المعلومات حول الدالة SUMIFS</t>
  </si>
  <si>
    <t>كافة المعلومات حول الدالة COUNTIF</t>
  </si>
  <si>
    <t>كافة المعلومات حول الدالة COUNTIFS</t>
  </si>
  <si>
    <t>كافة المعلومات حول الدالة AVERAGEIF</t>
  </si>
  <si>
    <t>كافة المعلومات حول الدالة AVERAGEIFS</t>
  </si>
  <si>
    <t>كافة المعلومات حول الدالة MINIFS</t>
  </si>
  <si>
    <t>كافة المعلومات حول الدالة MAXIFS</t>
  </si>
  <si>
    <t>إنشاء قائمة منسدلة</t>
  </si>
  <si>
    <t>SUMIF</t>
  </si>
  <si>
    <t>COUNTIF</t>
  </si>
  <si>
    <t>النوع</t>
  </si>
  <si>
    <t>فوجي</t>
  </si>
  <si>
    <t>فلوريدا</t>
  </si>
  <si>
    <t>كافنديش</t>
  </si>
  <si>
    <t>روغ</t>
  </si>
  <si>
    <t>هون كريسب</t>
  </si>
  <si>
    <t>أبو سرة</t>
  </si>
  <si>
    <t>ليدي فنجر</t>
  </si>
  <si>
    <t>يوريكا</t>
  </si>
  <si>
    <t>جرّبه:</t>
  </si>
  <si>
    <t>SUMIFS</t>
  </si>
  <si>
    <t>COUNTIFS</t>
  </si>
  <si>
    <t>دع معالج الدالة يرشدك</t>
  </si>
  <si>
    <t xml:space="preserve">إذا كنت تعرف اسم الدالة التي تريدها، ولكنك لست متأكداً من كيفية إنشائها، يمكنك استخدام معالج الدالة لمساعدتك.
</t>
  </si>
  <si>
    <t xml:space="preserve">حدد الخلية D10، ثم انتقل إلى الصيغ &gt; إدراج دالة &gt; اكتب VLOOKUP في مربع البحث عن دالة، واضغط على GO. عندما ترى أنه تم تمييز VLOOKUP، انقر فوق موافق في الأسفل. عندما تحدد دالة في القائمة، سيعرض Excel بناء الجملة الخاصة بها.
</t>
  </si>
  <si>
    <t xml:space="preserve">بعد ذلك، أدخل وسيطات الدالة في مربعات النص الخاصة بها. بينما تقوم بإدخال كل واحدة، سيقوم Excel بتقييمها، وإظهار النتيجة، مع النتيجة النهائية في الأسفل. بينما تقوم بإدخال كل مقطع، يتم سرد المعايير لكل وسيطة في أسفل النموذج. اضغط موافق عند الانتهاء، وسيقوم Excel بإدخال الصيغة بالنيابة عنك.
</t>
  </si>
  <si>
    <t>اطلع على ذلك
يجب أن ينتهي الأمر بـ =VLOOKUP(C10,C5:D8,2,FALSE)</t>
  </si>
  <si>
    <t>من الرائع معرفة أن
يمكنك كتابة مراجع الخلية والنطاق أو تحديدها باستخدام الماوس.</t>
  </si>
  <si>
    <t xml:space="preserve">من الرائع معرفة أن
عند إدخال كل مقطع وسيطة، سيتم عرض وصف للوسيطة أسفل النموذج وفوق نتيجة الصيغة.
</t>
  </si>
  <si>
    <t>دالات Excel (حسب الفئة)</t>
  </si>
  <si>
    <t>دالات Excel (بالترتيب الأبجدي)</t>
  </si>
  <si>
    <t>تصحيح أخطاء الصيغ</t>
  </si>
  <si>
    <t xml:space="preserve">أحياناً في الوقت، ستواجه صيغة تحتوي على رسالة خطأ، التي سيعرضها Excel مع #ErrorName. يمكن أن تكون الأخطاء مفيدة، نظراً لأنه في حالة عدم عمل شيء ما بشكل صحيح تقوم بالإشارة إليه، ولكن يمكن أن يكون من الصعب إصلاح المشكلة. لحسن الحظ، هناك العديد من الخيارات يمكنها أن تساعدك في تعقب مصدر الخطأ وحله.
</t>
  </si>
  <si>
    <t xml:space="preserve">تدقيق الأخطاء - انتقل إلى الصيغ &gt; تدقيق الأخطاء سيقوم هذا بتحميل مربع الحوار الذي سيخبرك بالسبب العام للخطأ المحدد. في الخلية D9، يحدث الخطأ #N/A نظراً لعدم وجود أية قيمة تطابق "تفاح". يمكنك إصلاح ذلك باستخدام قيمة موجودة أو منع الخطأ باستخدام الدالة IFERROR أو تجاهل ذلك ومعرفة أنه سيختفي عند استخدام قيمة موجودة.
</t>
  </si>
  <si>
    <t xml:space="preserve">إذا نقرت فوق تعليمات حول هذا الخطأ، فسيتم فتح موضوع التعليمات مخصص لرسالة الخطأ. إذا نقرت فوق إظهار خطوات الحساب، فسيتم تحميل مربع حوار تقييم صيغة.
</t>
  </si>
  <si>
    <t xml:space="preserve">كل مرة تنقر فوق تقييم، سيقوم Excel بالانتقال خلال الصيغة مقطع واحد في كل مرة. ليس من الضروري إخبارك بسبب حدوث الخطأ، ولكن ستتم الإشارة إلى مكانه. من هناك، يمكنك الاطلاع على موضوع التعليمات لاستنتاج الخطأ الذي حدث للصيغة الخاصة بك.
</t>
  </si>
  <si>
    <t>تجربة
ما الخطأ هنا؟ تلميح: نحاول تجميع كل العناصر.</t>
  </si>
  <si>
    <t xml:space="preserve">من الرائع معرفة أن
النقر فوق "خيارات" سيتيح لك تعيين القواعد عند عرض الأخطاء في Excel أو تجاهلها.
</t>
  </si>
  <si>
    <t>الكشف عن الأخطاء في الصيغ</t>
  </si>
  <si>
    <t>كيفية تفادي الصيغ المقطوعة</t>
  </si>
  <si>
    <t>تقييم الصيغة المتداخلة خطوة بخطوة</t>
  </si>
  <si>
    <t>هل لديك المزيد من الأسئلة حول Excel؟</t>
  </si>
  <si>
    <t>استمر في المتابعة. هناك المزيد للتعرّف عليه باستخدام Excel:</t>
  </si>
  <si>
    <t xml:space="preserve">المجتمع: طرح الأسئلة والتواصل مع مستخدمي Excel الآخرين.
</t>
  </si>
  <si>
    <t xml:space="preserve">ما هو الجديد أيضاً؟
يحصل مشتركو Office 365 على ميزات جديدة وتحديثات متواصلة.
</t>
  </si>
  <si>
    <r>
      <t xml:space="preserve">استخدم الدالة </t>
    </r>
    <r>
      <rPr>
        <b/>
        <sz val="11"/>
        <color theme="0"/>
        <rFont val="Tahoma"/>
        <family val="2"/>
      </rPr>
      <t>AVERAGE</t>
    </r>
    <r>
      <rPr>
        <sz val="11"/>
        <color theme="0"/>
        <rFont val="Tahoma"/>
        <family val="2"/>
      </rPr>
      <t xml:space="preserve"> للحصول على متوسط الأرقام في نطاق الخلايا.</t>
    </r>
  </si>
  <si>
    <r>
      <t xml:space="preserve">حدد الخلية D7، ثم استخدم </t>
    </r>
    <r>
      <rPr>
        <b/>
        <sz val="11"/>
        <color theme="0"/>
        <rFont val="Tahoma"/>
        <family val="2"/>
      </rPr>
      <t>جمع تلقائي</t>
    </r>
    <r>
      <rPr>
        <sz val="11"/>
        <color theme="0"/>
        <rFont val="Tahoma"/>
        <family val="2"/>
      </rPr>
      <t xml:space="preserve"> لإضافة الدالة </t>
    </r>
    <r>
      <rPr>
        <b/>
        <sz val="11"/>
        <color theme="0"/>
        <rFont val="Tahoma"/>
        <family val="2"/>
      </rPr>
      <t>AVERAGE</t>
    </r>
    <r>
      <rPr>
        <sz val="11"/>
        <color theme="0"/>
        <rFont val="Tahoma"/>
        <family val="2"/>
      </rPr>
      <t>.</t>
    </r>
  </si>
  <si>
    <r>
      <t xml:space="preserve">الآن حدد الخلية G7، وأدخل الدالة </t>
    </r>
    <r>
      <rPr>
        <b/>
        <sz val="11"/>
        <color theme="0"/>
        <rFont val="Tahoma"/>
        <family val="2"/>
      </rPr>
      <t>AVERAGE</t>
    </r>
    <r>
      <rPr>
        <sz val="11"/>
        <color theme="0"/>
        <rFont val="Tahoma"/>
        <family val="2"/>
      </rPr>
      <t xml:space="preserve"> </t>
    </r>
    <r>
      <rPr>
        <b/>
        <sz val="11"/>
        <color theme="0"/>
        <rFont val="Tahoma"/>
        <family val="2"/>
      </rPr>
      <t xml:space="preserve">عن طريق كتابة =AVERAGE(G3:G6). </t>
    </r>
  </si>
  <si>
    <r>
      <t xml:space="preserve">في الخلية D15، يمكنك استخدام إما </t>
    </r>
    <r>
      <rPr>
        <b/>
        <sz val="11"/>
        <color theme="0"/>
        <rFont val="Tahoma"/>
        <family val="2"/>
      </rPr>
      <t>جمع تلقائي</t>
    </r>
    <r>
      <rPr>
        <sz val="11"/>
        <color theme="0"/>
        <rFont val="Tahoma"/>
        <family val="2"/>
      </rPr>
      <t xml:space="preserve"> وإما تكتب لإدخال دالة </t>
    </r>
    <r>
      <rPr>
        <b/>
        <sz val="11"/>
        <color theme="0"/>
        <rFont val="Tahoma"/>
        <family val="2"/>
      </rPr>
      <t xml:space="preserve">AVERAGE </t>
    </r>
    <r>
      <rPr>
        <sz val="11"/>
        <color theme="0"/>
        <rFont val="Tahoma"/>
        <family val="2"/>
      </rPr>
      <t xml:space="preserve">أخرى. </t>
    </r>
  </si>
  <si>
    <r>
      <t xml:space="preserve">استخدم الدالة </t>
    </r>
    <r>
      <rPr>
        <b/>
        <sz val="10"/>
        <color theme="0"/>
        <rFont val="Tahoma"/>
        <family val="2"/>
      </rPr>
      <t xml:space="preserve">MIN </t>
    </r>
    <r>
      <rPr>
        <sz val="10"/>
        <color theme="0"/>
        <rFont val="Tahoma"/>
        <family val="2"/>
      </rPr>
      <t xml:space="preserve"> للحصول على أصغر رقم في نطاق الخلايا.</t>
    </r>
  </si>
  <si>
    <r>
      <t xml:space="preserve">استخدم الدالة </t>
    </r>
    <r>
      <rPr>
        <b/>
        <sz val="10"/>
        <color theme="0"/>
        <rFont val="Tahoma"/>
        <family val="2"/>
      </rPr>
      <t xml:space="preserve">MAX </t>
    </r>
    <r>
      <rPr>
        <sz val="10"/>
        <color theme="0"/>
        <rFont val="Tahoma"/>
        <family val="2"/>
      </rPr>
      <t xml:space="preserve"> للحصول على أكبر رقم في نطاق الخلايا.</t>
    </r>
  </si>
  <si>
    <r>
      <t xml:space="preserve">يمكنك استخدام إما </t>
    </r>
    <r>
      <rPr>
        <b/>
        <sz val="10"/>
        <color theme="0"/>
        <rFont val="Tahoma"/>
        <family val="2"/>
      </rPr>
      <t>MIN</t>
    </r>
    <r>
      <rPr>
        <sz val="10"/>
        <color theme="0"/>
        <rFont val="Tahoma"/>
        <family val="2"/>
      </rPr>
      <t xml:space="preserve"> أو </t>
    </r>
    <r>
      <rPr>
        <b/>
        <sz val="10"/>
        <color theme="0"/>
        <rFont val="Tahoma"/>
        <family val="2"/>
      </rPr>
      <t>MAX</t>
    </r>
    <r>
      <rPr>
        <sz val="10"/>
        <color theme="0"/>
        <rFont val="Tahoma"/>
        <family val="2"/>
      </rPr>
      <t xml:space="preserve"> باستخدام عدة نطاقات أو قيم لعرض القيم الأكبر أو الأقل من تلك القيم، مثل =MIN(A1:A10,B1:B10) أو =MAX(A1:A10,10).</t>
    </r>
  </si>
  <si>
    <t>Yes</t>
  </si>
  <si>
    <t>تفاحة</t>
  </si>
  <si>
    <t xml:space="preserve">تفاصيل مهمة
إذا كنت لا تريد من Excel عرض رقم سالب نظراً لأنك لم تقم بإدخال تاريخ ميلادك حتى الآن، يمكنك استخدام الدالة IF كما يلي: =IF(D7="";"";D7-D6)، حيث تشير إلى "إذا كانت الخلية D7 تساوي لا شيء، فأظهر لا شيء، بخلاف ذلك أظهر D7 ناقص D6".
</t>
  </si>
  <si>
    <t xml:space="preserve">إذا لم تكن متأكداً من وجود قيمة البحث، ولكن لا تزال ترغب في منع الخطأ #N/A، فيمكنك استخدام دالة معالجة الأخطاء التي تسمى IFERROR في الخلية G43: =IFERROR(VLOOKUP(F43;F37:G41;2,FALSE);""). تشير الدالة IFERROR إلى أنه إذا أرجعت الدالة VLOOKUP نتيجة صالحة، اعرض ذلك، وبخلاف ذلك، اعرض لا شيء (""). إننا لا نعرض أي شيء هنا ("")، لكن يمكنك أيضاً استخدام أرقام (0, 1، 2، إلخ.)، أو نص، على سبيل المثال، "الصيغة غير صحيحة".
</t>
  </si>
  <si>
    <t xml:space="preserve">اطلع على ذلك
حدد هذه الخلايا. ثم في الزاوية السفلية اليمنى من نافذة Excel، يمكنك البحث عن مجموع: 170 في الشريط السفلي. هذا يسمى شريط الحالة، وهي طريقة أخرى للعثور بسرعة على الإجمالي والتفاصيل الأخرى حول خلية أو نطاق محدد. </t>
  </si>
  <si>
    <t>اضغط على ALT+خ واكتب ما ترغب في معرفة المزيد حوله.</t>
  </si>
  <si>
    <t xml:space="preserve">والآن لنجرب الجمع التلقائي. حدد الخلية الموجودة ضمن العمود للحوم (الخلية G7)، ثم انتقل إلى الصيغ &gt; جمع تلقائي &gt; تحديد الدالة المجموع. سترى Excel يقوم بإدخال الصيغة تلقائياً نيابة عنك. اضغط على مفتاح الإدخال Enter لتأكيد الأمر. تحتوي ميزة "جمع تلقائي" على كافة الدالات الأكثر شيوعاً.
</t>
  </si>
  <si>
    <t>Apple</t>
  </si>
  <si>
    <t>Orange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</si>
</sst>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2" formatCode="_-&quot;ر.س.‏&quot;\ * #,##0_-;_-&quot;ر.س.‏&quot;\ * #,##0\-;_-&quot;ر.س.‏&quot;\ * &quot;-&quot;_-;_-@_-"/>
    <numFmt numFmtId="44" formatCode="_-&quot;ر.س.‏&quot;\ * #,##0.00_-;_-&quot;ر.س.‏&quot;\ * #,##0.00\-;_-&quot;ر.س.‏&quot;\ * &quot;-&quot;??_-;_-@_-"/>
    <numFmt numFmtId="164" formatCode="_(* #,##0_);_(* \(#,##0\);_(* &quot;-&quot;_);_(@_)"/>
    <numFmt numFmtId="165" formatCode="_(* #,##0.00_);_(* \(#,##0.00\);_(* &quot;-&quot;??_);_(@_)"/>
    <numFmt numFmtId="166" formatCode="[$-2010000]d/mm/yyyy;@"/>
    <numFmt numFmtId="167" formatCode="&quot;ر.س.‏&quot;\ #,##0.00;[Red]&quot;ر.س.‏&quot;\ #,##0.00"/>
  </numFmts>
  <fonts count="35" x14ac:knownFonts="1">
    <font>
      <sz val="11"/>
      <color theme="1"/>
      <name val="Tahoma"/>
      <family val="2"/>
    </font>
    <font>
      <sz val="11"/>
      <color theme="1"/>
      <name val="Tahoma"/>
      <family val="2"/>
    </font>
    <font>
      <sz val="17"/>
      <color theme="0"/>
      <name val="Tahoma"/>
      <family val="2"/>
    </font>
    <font>
      <sz val="72"/>
      <color theme="0"/>
      <name val="Tahoma"/>
      <family val="2"/>
    </font>
    <font>
      <sz val="11"/>
      <color rgb="FF0B744D"/>
      <name val="Tahoma"/>
      <family val="2"/>
    </font>
    <font>
      <sz val="11"/>
      <color theme="0"/>
      <name val="Tahoma"/>
      <family val="2"/>
    </font>
    <font>
      <sz val="11"/>
      <color rgb="FF006100"/>
      <name val="Tahoma"/>
      <family val="2"/>
    </font>
    <font>
      <sz val="11"/>
      <color rgb="FF9C0006"/>
      <name val="Tahoma"/>
      <family val="2"/>
    </font>
    <font>
      <u/>
      <sz val="11"/>
      <color theme="11"/>
      <name val="Tahoma"/>
      <family val="2"/>
    </font>
    <font>
      <sz val="18"/>
      <color theme="3"/>
      <name val="Tahoma"/>
      <family val="2"/>
    </font>
    <font>
      <b/>
      <sz val="15"/>
      <color theme="3"/>
      <name val="Tahoma"/>
      <family val="2"/>
    </font>
    <font>
      <b/>
      <sz val="13"/>
      <color theme="3"/>
      <name val="Tahoma"/>
      <family val="2"/>
    </font>
    <font>
      <b/>
      <sz val="11"/>
      <color theme="3"/>
      <name val="Tahoma"/>
      <family val="2"/>
    </font>
    <font>
      <b/>
      <sz val="11"/>
      <color theme="0"/>
      <name val="Tahoma"/>
      <family val="2"/>
    </font>
    <font>
      <b/>
      <sz val="11"/>
      <color theme="1"/>
      <name val="Tahoma"/>
      <family val="2"/>
    </font>
    <font>
      <i/>
      <sz val="11"/>
      <color rgb="FF7F7F7F"/>
      <name val="Tahoma"/>
      <family val="2"/>
    </font>
    <font>
      <sz val="11"/>
      <color rgb="FFFF0000"/>
      <name val="Tahoma"/>
      <family val="2"/>
    </font>
    <font>
      <b/>
      <sz val="11"/>
      <color rgb="FFFA7D00"/>
      <name val="Tahoma"/>
      <family val="2"/>
    </font>
    <font>
      <u/>
      <sz val="11"/>
      <color theme="10"/>
      <name val="Tahoma"/>
      <family val="2"/>
    </font>
    <font>
      <sz val="11"/>
      <color rgb="FF3F3F76"/>
      <name val="Tahoma"/>
      <family val="2"/>
    </font>
    <font>
      <b/>
      <sz val="11"/>
      <color rgb="FF3F3F3F"/>
      <name val="Tahoma"/>
      <family val="2"/>
    </font>
    <font>
      <sz val="11"/>
      <color rgb="FF9C5700"/>
      <name val="Tahoma"/>
      <family val="2"/>
    </font>
    <font>
      <sz val="11"/>
      <color rgb="FFFA7D00"/>
      <name val="Tahoma"/>
      <family val="2"/>
    </font>
    <font>
      <sz val="54"/>
      <color theme="0"/>
      <name val="Tahoma"/>
      <family val="2"/>
    </font>
    <font>
      <sz val="22"/>
      <color rgb="FF3B3838"/>
      <name val="Tahoma"/>
      <family val="2"/>
    </font>
    <font>
      <sz val="20"/>
      <color rgb="FF000000"/>
      <name val="Tahoma"/>
      <family val="2"/>
    </font>
    <font>
      <sz val="26"/>
      <color theme="2" tint="-0.749992370372631"/>
      <name val="Tahoma"/>
      <family val="2"/>
    </font>
    <font>
      <sz val="12"/>
      <color theme="1" tint="0.249977111117893"/>
      <name val="Tahoma"/>
      <family val="2"/>
    </font>
    <font>
      <sz val="11"/>
      <color rgb="FF404040"/>
      <name val="Tahoma"/>
      <family val="2"/>
    </font>
    <font>
      <sz val="10"/>
      <color theme="0"/>
      <name val="Tahoma"/>
      <family val="2"/>
    </font>
    <font>
      <b/>
      <sz val="10"/>
      <color theme="0"/>
      <name val="Tahoma"/>
      <family val="2"/>
    </font>
    <font>
      <b/>
      <sz val="11"/>
      <color theme="4"/>
      <name val="Tahoma"/>
      <family val="2"/>
    </font>
    <font>
      <b/>
      <sz val="14"/>
      <color rgb="FF404040"/>
      <name val="Tahoma"/>
      <family val="2"/>
    </font>
    <font>
      <sz val="12"/>
      <color theme="1"/>
      <name val="Tahoma"/>
      <family val="2"/>
    </font>
    <font>
      <sz val="24"/>
      <color theme="1"/>
      <name val="Tahoma"/>
      <family val="2"/>
    </font>
  </fonts>
  <fills count="38">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2">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
      <left/>
      <right/>
      <top/>
      <bottom style="thin">
        <color theme="0" tint="-0.499984740745262"/>
      </bottom>
      <diagonal/>
    </border>
    <border>
      <left/>
      <right/>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7">
    <xf numFmtId="0" fontId="0" fillId="0" borderId="0"/>
    <xf numFmtId="0" fontId="4" fillId="0" borderId="0" applyFill="0" applyBorder="0">
      <alignment wrapText="1"/>
    </xf>
    <xf numFmtId="0" fontId="1" fillId="0" borderId="0"/>
    <xf numFmtId="0" fontId="3" fillId="2" borderId="0" applyNumberFormat="0" applyBorder="0" applyProtection="0">
      <alignment horizontal="left" indent="1"/>
    </xf>
    <xf numFmtId="0" fontId="2" fillId="2" borderId="0" applyNumberFormat="0" applyProtection="0">
      <alignment horizontal="left" wrapText="1" indent="4"/>
    </xf>
    <xf numFmtId="0" fontId="4" fillId="2" borderId="0" applyNumberFormat="0" applyProtection="0">
      <alignment horizontal="left" wrapText="1" indent="4"/>
    </xf>
    <xf numFmtId="0" fontId="5" fillId="0" borderId="0"/>
    <xf numFmtId="0" fontId="5" fillId="3" borderId="0" applyNumberFormat="0" applyBorder="0" applyProtection="0">
      <alignment readingOrder="2"/>
    </xf>
    <xf numFmtId="0" fontId="1" fillId="4" borderId="0"/>
    <xf numFmtId="0" fontId="1" fillId="5" borderId="1"/>
    <xf numFmtId="0" fontId="1" fillId="4" borderId="2"/>
    <xf numFmtId="0" fontId="1" fillId="0" borderId="0"/>
    <xf numFmtId="0" fontId="1" fillId="4" borderId="0"/>
    <xf numFmtId="0" fontId="1" fillId="5" borderId="1"/>
    <xf numFmtId="0" fontId="1" fillId="4" borderId="2"/>
    <xf numFmtId="0" fontId="1" fillId="0" borderId="0"/>
    <xf numFmtId="0" fontId="18" fillId="0" borderId="0" applyNumberFormat="0" applyFill="0" applyBorder="0" applyAlignment="0" applyProtection="0"/>
    <xf numFmtId="0" fontId="1" fillId="4" borderId="0"/>
    <xf numFmtId="0" fontId="1" fillId="5" borderId="1"/>
    <xf numFmtId="0" fontId="1" fillId="4" borderId="2"/>
    <xf numFmtId="0" fontId="8" fillId="0" borderId="0" applyNumberForma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6" fillId="7" borderId="0" applyNumberFormat="0" applyBorder="0" applyAlignment="0" applyProtection="0"/>
    <xf numFmtId="0" fontId="7" fillId="8" borderId="0" applyNumberFormat="0" applyBorder="0" applyAlignment="0" applyProtection="0"/>
    <xf numFmtId="0" fontId="21" fillId="9" borderId="0" applyNumberFormat="0" applyBorder="0" applyAlignment="0" applyProtection="0"/>
    <xf numFmtId="0" fontId="19" fillId="10" borderId="17" applyNumberFormat="0" applyAlignment="0" applyProtection="0"/>
    <xf numFmtId="0" fontId="20" fillId="11" borderId="18" applyNumberFormat="0" applyAlignment="0" applyProtection="0"/>
    <xf numFmtId="0" fontId="17" fillId="11" borderId="17" applyNumberFormat="0" applyAlignment="0" applyProtection="0"/>
    <xf numFmtId="0" fontId="22" fillId="0" borderId="19" applyNumberFormat="0" applyFill="0" applyAlignment="0" applyProtection="0"/>
    <xf numFmtId="0" fontId="13" fillId="12" borderId="20" applyNumberFormat="0" applyAlignment="0" applyProtection="0"/>
    <xf numFmtId="0" fontId="16" fillId="0" borderId="0" applyNumberFormat="0" applyFill="0" applyBorder="0" applyAlignment="0" applyProtection="0"/>
    <xf numFmtId="0" fontId="1" fillId="13" borderId="1" applyNumberFormat="0" applyFont="0" applyAlignment="0" applyProtection="0"/>
    <xf numFmtId="0" fontId="15" fillId="0" borderId="0" applyNumberFormat="0" applyFill="0" applyBorder="0" applyAlignment="0" applyProtection="0"/>
    <xf numFmtId="0" fontId="14" fillId="0" borderId="21" applyNumberFormat="0" applyFill="0" applyAlignment="0" applyProtection="0"/>
    <xf numFmtId="0" fontId="5"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5"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5"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5"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5"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5"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cellStyleXfs>
  <cellXfs count="126">
    <xf numFmtId="0" fontId="0" fillId="0" borderId="0" xfId="0"/>
    <xf numFmtId="0" fontId="23" fillId="2" borderId="0" xfId="3" applyFont="1" applyAlignment="1">
      <alignment horizontal="right" indent="1" readingOrder="2"/>
    </xf>
    <xf numFmtId="0" fontId="5" fillId="0" borderId="0" xfId="0" applyFont="1" applyAlignment="1">
      <alignment horizontal="right" readingOrder="2"/>
    </xf>
    <xf numFmtId="0" fontId="24" fillId="0" borderId="0" xfId="0" applyFont="1" applyAlignment="1">
      <alignment horizontal="centerContinuous" vertical="center" readingOrder="2"/>
    </xf>
    <xf numFmtId="0" fontId="5" fillId="0" borderId="0" xfId="0" applyFont="1" applyAlignment="1">
      <alignment horizontal="right" wrapText="1" readingOrder="2"/>
    </xf>
    <xf numFmtId="0" fontId="25" fillId="0" borderId="0" xfId="0" applyFont="1" applyAlignment="1">
      <alignment horizontal="right" readingOrder="2"/>
    </xf>
    <xf numFmtId="0" fontId="5" fillId="0" borderId="0" xfId="0" applyFont="1" applyAlignment="1">
      <alignment readingOrder="2"/>
    </xf>
    <xf numFmtId="0" fontId="5" fillId="0" borderId="0" xfId="6" applyFont="1" applyAlignment="1">
      <alignment horizontal="right" readingOrder="2"/>
    </xf>
    <xf numFmtId="0" fontId="26" fillId="0" borderId="0" xfId="11" applyFont="1" applyAlignment="1">
      <alignment horizontal="right" readingOrder="2"/>
    </xf>
    <xf numFmtId="0" fontId="1" fillId="0" borderId="0" xfId="11" applyFont="1" applyAlignment="1">
      <alignment horizontal="centerContinuous" readingOrder="2"/>
    </xf>
    <xf numFmtId="0" fontId="1" fillId="0" borderId="0" xfId="11" applyFont="1" applyAlignment="1">
      <alignment readingOrder="2"/>
    </xf>
    <xf numFmtId="0" fontId="1" fillId="0" borderId="0" xfId="11" applyFont="1" applyAlignment="1">
      <alignment horizontal="right" readingOrder="2"/>
    </xf>
    <xf numFmtId="0" fontId="5" fillId="3" borderId="0" xfId="7" applyFont="1" applyAlignment="1">
      <alignment horizontal="right" readingOrder="2"/>
    </xf>
    <xf numFmtId="0" fontId="5" fillId="3" borderId="0" xfId="7" applyFont="1" applyAlignment="1">
      <alignment horizontal="left" readingOrder="2"/>
    </xf>
    <xf numFmtId="0" fontId="5" fillId="0" borderId="0" xfId="6" applyFont="1" applyAlignment="1">
      <alignment horizontal="right" wrapText="1" readingOrder="2"/>
    </xf>
    <xf numFmtId="0" fontId="27" fillId="0" borderId="0" xfId="11" applyFont="1" applyAlignment="1">
      <alignment horizontal="right" readingOrder="2"/>
    </xf>
    <xf numFmtId="0" fontId="1" fillId="4" borderId="6" xfId="12" applyFont="1" applyBorder="1" applyAlignment="1">
      <alignment horizontal="right" readingOrder="2"/>
    </xf>
    <xf numFmtId="0" fontId="1" fillId="0" borderId="0" xfId="11" applyFont="1" applyAlignment="1">
      <alignment horizontal="left" readingOrder="2"/>
    </xf>
    <xf numFmtId="0" fontId="14" fillId="0" borderId="9" xfId="11" applyFont="1" applyBorder="1" applyAlignment="1">
      <alignment horizontal="right" readingOrder="2"/>
    </xf>
    <xf numFmtId="0" fontId="5" fillId="0" borderId="0" xfId="11" applyFont="1" applyAlignment="1">
      <alignment horizontal="right" wrapText="1" readingOrder="2"/>
    </xf>
    <xf numFmtId="0" fontId="1" fillId="5" borderId="1" xfId="13" applyFont="1" applyAlignment="1">
      <alignment horizontal="left" readingOrder="2"/>
    </xf>
    <xf numFmtId="0" fontId="1" fillId="0" borderId="0" xfId="2" applyFont="1" applyAlignment="1">
      <alignment horizontal="right" readingOrder="2"/>
    </xf>
    <xf numFmtId="0" fontId="1" fillId="0" borderId="0" xfId="2" applyFont="1" applyAlignment="1">
      <alignment horizontal="centerContinuous" readingOrder="2"/>
    </xf>
    <xf numFmtId="0" fontId="1" fillId="0" borderId="0" xfId="2" applyFont="1" applyAlignment="1">
      <alignment readingOrder="2"/>
    </xf>
    <xf numFmtId="0" fontId="1" fillId="0" borderId="0" xfId="2" applyFont="1" applyAlignment="1">
      <alignment horizontal="left" readingOrder="2"/>
    </xf>
    <xf numFmtId="0" fontId="28" fillId="0" borderId="0" xfId="0" applyFont="1" applyAlignment="1">
      <alignment readingOrder="2"/>
    </xf>
    <xf numFmtId="0" fontId="1" fillId="4" borderId="6" xfId="8" applyFont="1" applyBorder="1" applyAlignment="1">
      <alignment horizontal="right" readingOrder="2"/>
    </xf>
    <xf numFmtId="0" fontId="1" fillId="4" borderId="6" xfId="8" applyFont="1" applyBorder="1" applyAlignment="1">
      <alignment horizontal="left" readingOrder="2"/>
    </xf>
    <xf numFmtId="0" fontId="14" fillId="0" borderId="0" xfId="2" applyFont="1" applyAlignment="1">
      <alignment horizontal="right" readingOrder="2"/>
    </xf>
    <xf numFmtId="0" fontId="1" fillId="5" borderId="7" xfId="9" applyFont="1" applyBorder="1" applyAlignment="1">
      <alignment horizontal="left" readingOrder="2"/>
    </xf>
    <xf numFmtId="0" fontId="29" fillId="0" borderId="0" xfId="6" applyFont="1" applyAlignment="1">
      <alignment horizontal="right" readingOrder="2"/>
    </xf>
    <xf numFmtId="0" fontId="29" fillId="0" borderId="0" xfId="0" applyFont="1" applyAlignment="1">
      <alignment horizontal="right" readingOrder="2"/>
    </xf>
    <xf numFmtId="0" fontId="29" fillId="0" borderId="0" xfId="0" applyFont="1" applyAlignment="1">
      <alignment horizontal="right" wrapText="1" readingOrder="2"/>
    </xf>
    <xf numFmtId="0" fontId="29" fillId="0" borderId="0" xfId="2" applyFont="1" applyAlignment="1">
      <alignment horizontal="right" wrapText="1" readingOrder="2"/>
    </xf>
    <xf numFmtId="0" fontId="29" fillId="0" borderId="0" xfId="2" applyFont="1" applyAlignment="1">
      <alignment horizontal="right" readingOrder="2"/>
    </xf>
    <xf numFmtId="0" fontId="30" fillId="0" borderId="0" xfId="0" applyFont="1" applyAlignment="1">
      <alignment horizontal="right" readingOrder="2"/>
    </xf>
    <xf numFmtId="0" fontId="29" fillId="0" borderId="0" xfId="6" applyFont="1" applyAlignment="1">
      <alignment readingOrder="2"/>
    </xf>
    <xf numFmtId="0" fontId="29" fillId="0" borderId="0" xfId="0" applyFont="1" applyAlignment="1">
      <alignment readingOrder="2"/>
    </xf>
    <xf numFmtId="166" fontId="1" fillId="5" borderId="10" xfId="9" applyNumberFormat="1" applyFont="1" applyBorder="1" applyAlignment="1">
      <alignment horizontal="left" readingOrder="2"/>
    </xf>
    <xf numFmtId="0" fontId="31" fillId="0" borderId="0" xfId="0" applyFont="1" applyAlignment="1">
      <alignment horizontal="right" readingOrder="2"/>
    </xf>
    <xf numFmtId="14" fontId="1" fillId="5" borderId="10" xfId="9" applyNumberFormat="1" applyFont="1" applyBorder="1" applyAlignment="1">
      <alignment horizontal="left" readingOrder="2"/>
    </xf>
    <xf numFmtId="0" fontId="24" fillId="0" borderId="0" xfId="0" applyFont="1" applyAlignment="1">
      <alignment horizontal="center" vertical="center" readingOrder="2"/>
    </xf>
    <xf numFmtId="0" fontId="1" fillId="5" borderId="1" xfId="9" applyFont="1" applyAlignment="1">
      <alignment horizontal="left" vertical="center" readingOrder="2"/>
    </xf>
    <xf numFmtId="0" fontId="1" fillId="4" borderId="2" xfId="10" applyFont="1" applyAlignment="1">
      <alignment horizontal="center" vertical="center" readingOrder="2"/>
    </xf>
    <xf numFmtId="0" fontId="13" fillId="3" borderId="4" xfId="7" applyFont="1" applyBorder="1" applyAlignment="1">
      <alignment horizontal="right" vertical="center" readingOrder="2"/>
    </xf>
    <xf numFmtId="0" fontId="13" fillId="3" borderId="4" xfId="7" applyFont="1" applyBorder="1" applyAlignment="1">
      <alignment horizontal="left" vertical="center" readingOrder="2"/>
    </xf>
    <xf numFmtId="0" fontId="5" fillId="0" borderId="0" xfId="2" applyFont="1" applyAlignment="1">
      <alignment horizontal="right" readingOrder="2"/>
    </xf>
    <xf numFmtId="0" fontId="5" fillId="0" borderId="0" xfId="2" applyFont="1" applyAlignment="1">
      <alignment horizontal="right" wrapText="1" readingOrder="2"/>
    </xf>
    <xf numFmtId="0" fontId="13" fillId="3" borderId="0" xfId="7" applyFont="1" applyAlignment="1">
      <alignment horizontal="right" readingOrder="2"/>
    </xf>
    <xf numFmtId="0" fontId="13" fillId="3" borderId="0" xfId="7" applyFont="1" applyAlignment="1">
      <alignment horizontal="left" readingOrder="2"/>
    </xf>
    <xf numFmtId="0" fontId="14" fillId="0" borderId="0" xfId="2" applyFont="1" applyAlignment="1">
      <alignment horizontal="left" readingOrder="2"/>
    </xf>
    <xf numFmtId="0" fontId="1" fillId="4" borderId="2" xfId="10" applyFont="1" applyAlignment="1">
      <alignment horizontal="right" readingOrder="2"/>
    </xf>
    <xf numFmtId="0" fontId="1" fillId="5" borderId="1" xfId="9" applyFont="1" applyAlignment="1">
      <alignment horizontal="left" readingOrder="2"/>
    </xf>
    <xf numFmtId="0" fontId="24" fillId="0" borderId="0" xfId="0" applyFont="1" applyAlignment="1">
      <alignment horizontal="center" vertical="center" wrapText="1" readingOrder="2"/>
    </xf>
    <xf numFmtId="0" fontId="1" fillId="4" borderId="0" xfId="8" applyFont="1" applyAlignment="1">
      <alignment horizontal="right" readingOrder="2"/>
    </xf>
    <xf numFmtId="0" fontId="28" fillId="0" borderId="0" xfId="0" applyFont="1" applyAlignment="1">
      <alignment horizontal="right" readingOrder="2"/>
    </xf>
    <xf numFmtId="0" fontId="32" fillId="0" borderId="0" xfId="0" applyFont="1" applyAlignment="1">
      <alignment horizontal="right" readingOrder="2"/>
    </xf>
    <xf numFmtId="0" fontId="28" fillId="0" borderId="0" xfId="0" applyFont="1" applyAlignment="1">
      <alignment horizontal="center" readingOrder="2"/>
    </xf>
    <xf numFmtId="0" fontId="28" fillId="0" borderId="0" xfId="0" applyFont="1" applyAlignment="1">
      <alignment horizontal="right" indent="1" readingOrder="2"/>
    </xf>
    <xf numFmtId="0" fontId="5" fillId="0" borderId="0" xfId="0" quotePrefix="1" applyFont="1" applyAlignment="1">
      <alignment horizontal="right" readingOrder="2"/>
    </xf>
    <xf numFmtId="0" fontId="1" fillId="0" borderId="0" xfId="2" applyFont="1" applyAlignment="1">
      <alignment horizontal="right" indent="1" readingOrder="2"/>
    </xf>
    <xf numFmtId="0" fontId="28" fillId="0" borderId="0" xfId="0" applyFont="1" applyAlignment="1">
      <alignment horizontal="right" indent="2" readingOrder="2"/>
    </xf>
    <xf numFmtId="0" fontId="1" fillId="0" borderId="0" xfId="2" applyFont="1" applyAlignment="1">
      <alignment horizontal="center" readingOrder="2"/>
    </xf>
    <xf numFmtId="0" fontId="1" fillId="0" borderId="0" xfId="2" quotePrefix="1" applyFont="1" applyAlignment="1">
      <alignment horizontal="right" readingOrder="2"/>
    </xf>
    <xf numFmtId="0" fontId="1" fillId="0" borderId="0" xfId="2" applyFont="1" applyAlignment="1">
      <alignment horizontal="right" indent="2" readingOrder="2"/>
    </xf>
    <xf numFmtId="0" fontId="1" fillId="4" borderId="0" xfId="8" applyFont="1" applyAlignment="1">
      <alignment horizontal="left" readingOrder="2"/>
    </xf>
    <xf numFmtId="0" fontId="1" fillId="0" borderId="0" xfId="11" applyFont="1" applyAlignment="1">
      <alignment horizontal="right" indent="1" readingOrder="2"/>
    </xf>
    <xf numFmtId="0" fontId="5" fillId="0" borderId="0" xfId="6" applyFont="1" applyAlignment="1">
      <alignment readingOrder="2"/>
    </xf>
    <xf numFmtId="0" fontId="1" fillId="0" borderId="0" xfId="2" applyFont="1"/>
    <xf numFmtId="0" fontId="2" fillId="2" borderId="0" xfId="4" applyFont="1" applyAlignment="1">
      <alignment horizontal="right" wrapText="1" indent="4" readingOrder="2"/>
    </xf>
    <xf numFmtId="0" fontId="4" fillId="2" borderId="0" xfId="5" applyFont="1" applyAlignment="1">
      <alignment horizontal="right" wrapText="1" indent="4" readingOrder="2"/>
    </xf>
    <xf numFmtId="0" fontId="2" fillId="2" borderId="0" xfId="4" applyFont="1" applyAlignment="1">
      <alignment horizontal="left" wrapText="1" indent="4" readingOrder="2"/>
    </xf>
    <xf numFmtId="0" fontId="1" fillId="0" borderId="0" xfId="15" applyFont="1" applyAlignment="1">
      <alignment readingOrder="2"/>
    </xf>
    <xf numFmtId="0" fontId="1" fillId="0" borderId="0" xfId="15" applyFont="1"/>
    <xf numFmtId="0" fontId="33" fillId="0" borderId="0" xfId="15" applyFont="1"/>
    <xf numFmtId="0" fontId="34" fillId="0" borderId="0" xfId="15" applyFont="1"/>
    <xf numFmtId="0" fontId="34" fillId="0" borderId="0" xfId="15" applyFont="1" applyAlignment="1">
      <alignment vertical="center"/>
    </xf>
    <xf numFmtId="0" fontId="5" fillId="0" borderId="0" xfId="6" applyFont="1"/>
    <xf numFmtId="0" fontId="1" fillId="0" borderId="0" xfId="0" applyFont="1" applyAlignment="1">
      <alignment horizontal="right" readingOrder="2"/>
    </xf>
    <xf numFmtId="0" fontId="1" fillId="0" borderId="0" xfId="0" applyFont="1" applyAlignment="1">
      <alignment horizontal="centerContinuous" vertical="center" readingOrder="2"/>
    </xf>
    <xf numFmtId="0" fontId="1" fillId="0" borderId="0" xfId="0" applyFont="1"/>
    <xf numFmtId="0" fontId="1" fillId="0" borderId="0" xfId="0" applyFont="1" applyAlignment="1">
      <alignment horizontal="center" vertical="center" readingOrder="2"/>
    </xf>
    <xf numFmtId="0" fontId="1" fillId="0" borderId="0" xfId="0" applyFont="1" applyAlignment="1">
      <alignment readingOrder="2"/>
    </xf>
    <xf numFmtId="0" fontId="1" fillId="0" borderId="0" xfId="0" applyFont="1" applyAlignment="1">
      <alignment horizontal="centerContinuous" readingOrder="2"/>
    </xf>
    <xf numFmtId="0" fontId="1" fillId="0" borderId="0" xfId="2" applyFont="1" applyAlignment="1">
      <alignment horizontal="left"/>
    </xf>
    <xf numFmtId="0" fontId="1" fillId="4" borderId="0" xfId="12" applyFont="1" applyAlignment="1">
      <alignment horizontal="right" readingOrder="2"/>
    </xf>
    <xf numFmtId="0" fontId="1" fillId="0" borderId="0" xfId="0" applyFont="1" applyAlignment="1">
      <alignment horizontal="center" readingOrder="2"/>
    </xf>
    <xf numFmtId="0" fontId="1" fillId="0" borderId="0" xfId="0" applyFont="1" applyAlignment="1">
      <alignment horizontal="center" wrapText="1" readingOrder="2"/>
    </xf>
    <xf numFmtId="0" fontId="5" fillId="0" borderId="0" xfId="6" applyFont="1" applyAlignment="1">
      <alignment horizontal="centerContinuous" readingOrder="2"/>
    </xf>
    <xf numFmtId="0" fontId="1" fillId="0" borderId="0" xfId="0" applyFont="1" applyAlignment="1">
      <alignment horizontal="right" vertical="center" readingOrder="2"/>
    </xf>
    <xf numFmtId="0" fontId="1" fillId="4" borderId="1" xfId="8" applyFont="1" applyBorder="1" applyAlignment="1">
      <alignment horizontal="right" readingOrder="2"/>
    </xf>
    <xf numFmtId="14" fontId="1" fillId="0" borderId="0" xfId="0" applyNumberFormat="1" applyFont="1" applyAlignment="1">
      <alignment horizontal="right" readingOrder="2"/>
    </xf>
    <xf numFmtId="0" fontId="1" fillId="6" borderId="4" xfId="0" applyFont="1" applyFill="1" applyBorder="1" applyAlignment="1">
      <alignment horizontal="right" vertical="center" readingOrder="2"/>
    </xf>
    <xf numFmtId="167" fontId="1" fillId="6" borderId="4" xfId="0" applyNumberFormat="1" applyFont="1" applyFill="1" applyBorder="1" applyAlignment="1">
      <alignment horizontal="right" vertical="center" readingOrder="2"/>
    </xf>
    <xf numFmtId="0" fontId="1" fillId="0" borderId="3" xfId="0" applyFont="1" applyBorder="1" applyAlignment="1">
      <alignment horizontal="right" vertical="center" readingOrder="2"/>
    </xf>
    <xf numFmtId="167" fontId="1" fillId="0" borderId="3" xfId="0" applyNumberFormat="1" applyFont="1" applyBorder="1" applyAlignment="1">
      <alignment horizontal="right" vertical="center" readingOrder="2"/>
    </xf>
    <xf numFmtId="167" fontId="1" fillId="0" borderId="0" xfId="0" applyNumberFormat="1" applyFont="1" applyAlignment="1">
      <alignment horizontal="right" vertical="center" readingOrder="2"/>
    </xf>
    <xf numFmtId="167" fontId="1" fillId="5" borderId="1" xfId="9" applyNumberFormat="1" applyFont="1" applyAlignment="1">
      <alignment horizontal="right" vertical="center" readingOrder="2"/>
    </xf>
    <xf numFmtId="0" fontId="1" fillId="5" borderId="10" xfId="9" applyFont="1" applyBorder="1" applyAlignment="1">
      <alignment horizontal="right" readingOrder="2"/>
    </xf>
    <xf numFmtId="0" fontId="1" fillId="5" borderId="1" xfId="9" applyFont="1" applyAlignment="1">
      <alignment horizontal="right" readingOrder="2"/>
    </xf>
    <xf numFmtId="0" fontId="5" fillId="0" borderId="0" xfId="0" applyFont="1"/>
    <xf numFmtId="0" fontId="29" fillId="0" borderId="0" xfId="6" applyFont="1"/>
    <xf numFmtId="0" fontId="1" fillId="0" borderId="0" xfId="11" applyFont="1"/>
    <xf numFmtId="0" fontId="1" fillId="0" borderId="0" xfId="11" applyFont="1" applyAlignment="1">
      <alignment horizontal="left"/>
    </xf>
    <xf numFmtId="0" fontId="5" fillId="3" borderId="0" xfId="7" applyFont="1" applyAlignment="1">
      <alignment horizontal="center" vertical="center" readingOrder="2"/>
    </xf>
    <xf numFmtId="0" fontId="1" fillId="4" borderId="6" xfId="17" applyFont="1" applyBorder="1" applyAlignment="1">
      <alignment horizontal="right" readingOrder="2"/>
    </xf>
    <xf numFmtId="0" fontId="18" fillId="0" borderId="0" xfId="16" applyFont="1" applyAlignment="1">
      <alignment readingOrder="2"/>
    </xf>
    <xf numFmtId="0" fontId="1" fillId="5" borderId="5" xfId="18" applyFont="1" applyBorder="1" applyAlignment="1">
      <alignment horizontal="left" readingOrder="2"/>
    </xf>
    <xf numFmtId="0" fontId="1" fillId="4" borderId="2" xfId="14" applyFont="1" applyAlignment="1">
      <alignment horizontal="left" readingOrder="2"/>
    </xf>
    <xf numFmtId="0" fontId="1" fillId="4" borderId="0" xfId="17" applyFont="1" applyAlignment="1">
      <alignment horizontal="left" readingOrder="2"/>
    </xf>
    <xf numFmtId="0" fontId="1" fillId="5" borderId="1" xfId="18" applyFont="1" applyAlignment="1">
      <alignment horizontal="left" readingOrder="2"/>
    </xf>
    <xf numFmtId="0" fontId="1" fillId="4" borderId="2" xfId="10" applyFont="1" applyAlignment="1">
      <alignment horizontal="left" readingOrder="2"/>
    </xf>
    <xf numFmtId="0" fontId="1" fillId="4" borderId="6" xfId="12" applyFont="1" applyBorder="1" applyAlignment="1">
      <alignment horizontal="left" readingOrder="2"/>
    </xf>
    <xf numFmtId="0" fontId="1" fillId="4" borderId="8" xfId="12" applyFont="1" applyBorder="1" applyAlignment="1">
      <alignment horizontal="left" readingOrder="2"/>
    </xf>
    <xf numFmtId="0" fontId="1" fillId="5" borderId="10" xfId="13" applyFont="1" applyBorder="1" applyAlignment="1">
      <alignment horizontal="left" readingOrder="2"/>
    </xf>
    <xf numFmtId="0" fontId="1" fillId="5" borderId="7" xfId="13" applyFont="1" applyBorder="1" applyAlignment="1">
      <alignment horizontal="left" readingOrder="2"/>
    </xf>
    <xf numFmtId="0" fontId="1" fillId="4" borderId="11" xfId="10" applyFont="1" applyBorder="1" applyAlignment="1">
      <alignment horizontal="left" readingOrder="2"/>
    </xf>
    <xf numFmtId="0" fontId="1" fillId="5" borderId="10" xfId="9" applyFont="1" applyBorder="1" applyAlignment="1">
      <alignment horizontal="left" readingOrder="2"/>
    </xf>
    <xf numFmtId="166" fontId="1" fillId="4" borderId="11" xfId="10" applyNumberFormat="1" applyFont="1" applyBorder="1" applyAlignment="1">
      <alignment horizontal="left" readingOrder="2"/>
    </xf>
    <xf numFmtId="166" fontId="1" fillId="4" borderId="6" xfId="8" applyNumberFormat="1" applyFont="1" applyBorder="1" applyAlignment="1">
      <alignment horizontal="left" readingOrder="2"/>
    </xf>
    <xf numFmtId="14" fontId="1" fillId="4" borderId="6" xfId="8" applyNumberFormat="1" applyFont="1" applyBorder="1" applyAlignment="1">
      <alignment horizontal="left" readingOrder="2"/>
    </xf>
    <xf numFmtId="0" fontId="1" fillId="4" borderId="0" xfId="12" applyFont="1" applyAlignment="1">
      <alignment horizontal="left" readingOrder="2"/>
    </xf>
    <xf numFmtId="0" fontId="13" fillId="3" borderId="0" xfId="7" applyFont="1" applyAlignment="1">
      <alignment horizontal="center" readingOrder="2"/>
    </xf>
    <xf numFmtId="0" fontId="13" fillId="3" borderId="12" xfId="7" applyFont="1" applyBorder="1" applyAlignment="1">
      <alignment horizontal="center" readingOrder="2"/>
    </xf>
    <xf numFmtId="0" fontId="13" fillId="3" borderId="13" xfId="7" applyFont="1" applyBorder="1" applyAlignment="1">
      <alignment horizontal="center" readingOrder="2"/>
    </xf>
    <xf numFmtId="0" fontId="13" fillId="3" borderId="13" xfId="7" applyFont="1" applyBorder="1" applyAlignment="1">
      <alignment horizontal="center" vertical="center" readingOrder="2"/>
    </xf>
  </cellXfs>
  <cellStyles count="67">
    <cellStyle name="20% - تمييز1" xfId="44" builtinId="30" customBuiltin="1"/>
    <cellStyle name="20% - تمييز2" xfId="48" builtinId="34" customBuiltin="1"/>
    <cellStyle name="20% - تمييز3" xfId="52" builtinId="38" customBuiltin="1"/>
    <cellStyle name="20% - تمييز4" xfId="56" builtinId="42" customBuiltin="1"/>
    <cellStyle name="20% - تمييز5" xfId="60" builtinId="46" customBuiltin="1"/>
    <cellStyle name="20% - تمييز6" xfId="64" builtinId="50" customBuiltin="1"/>
    <cellStyle name="40% - تمييز1" xfId="45" builtinId="31" customBuiltin="1"/>
    <cellStyle name="40% - تمييز2" xfId="49" builtinId="35" customBuiltin="1"/>
    <cellStyle name="40% - تمييز3" xfId="53" builtinId="39" customBuiltin="1"/>
    <cellStyle name="40% - تمييز4" xfId="57" builtinId="43" customBuiltin="1"/>
    <cellStyle name="40% - تمييز5" xfId="61" builtinId="47" customBuiltin="1"/>
    <cellStyle name="40% - تمييز6" xfId="65" builtinId="51" customBuiltin="1"/>
    <cellStyle name="60% - تمييز1" xfId="46" builtinId="32" customBuiltin="1"/>
    <cellStyle name="60% - تمييز2" xfId="50" builtinId="36" customBuiltin="1"/>
    <cellStyle name="60% - تمييز3" xfId="54" builtinId="40" customBuiltin="1"/>
    <cellStyle name="60% - تمييز4" xfId="58" builtinId="44" customBuiltin="1"/>
    <cellStyle name="60% - تمييز5" xfId="62" builtinId="48" customBuiltin="1"/>
    <cellStyle name="60% - تمييز6" xfId="66" builtinId="52" customBuiltin="1"/>
    <cellStyle name="Comma" xfId="21" builtinId="3" customBuiltin="1"/>
    <cellStyle name="Comma [0]" xfId="22" builtinId="6" customBuiltin="1"/>
    <cellStyle name="Currency" xfId="23" builtinId="4" customBuiltin="1"/>
    <cellStyle name="Currency [0]" xfId="24" builtinId="7" customBuiltin="1"/>
    <cellStyle name="Followed Hyperlink" xfId="20" builtinId="9" customBuiltin="1"/>
    <cellStyle name="GrayCell" xfId="8" xr:uid="{00000000-0005-0000-0000-000000000000}"/>
    <cellStyle name="GrayCell 2" xfId="12" xr:uid="{00000000-0005-0000-0000-000001000000}"/>
    <cellStyle name="GrayCell 2 2" xfId="17" xr:uid="{00000000-0005-0000-0000-000002000000}"/>
    <cellStyle name="OrangeBorder" xfId="10" xr:uid="{00000000-0005-0000-0000-00000B000000}"/>
    <cellStyle name="OrangeBorder 2" xfId="14" xr:uid="{00000000-0005-0000-0000-00000C000000}"/>
    <cellStyle name="OrangeBorder 3" xfId="19" xr:uid="{00000000-0005-0000-0000-00000D000000}"/>
    <cellStyle name="Percent" xfId="25" builtinId="5" customBuiltin="1"/>
    <cellStyle name="YellowCell" xfId="9" xr:uid="{00000000-0005-0000-0000-000010000000}"/>
    <cellStyle name="YellowCell 2" xfId="13" xr:uid="{00000000-0005-0000-0000-000011000000}"/>
    <cellStyle name="YellowCell 2 2" xfId="18" xr:uid="{00000000-0005-0000-0000-000012000000}"/>
    <cellStyle name="إخراج" xfId="35" builtinId="21" customBuiltin="1"/>
    <cellStyle name="إدخال" xfId="34" builtinId="20" customBuiltin="1"/>
    <cellStyle name="ارتباط تشعبي" xfId="16" builtinId="8" customBuiltin="1"/>
    <cellStyle name="الإجمالي" xfId="42" builtinId="25" customBuiltin="1"/>
    <cellStyle name="العنوان 1 2" xfId="4" xr:uid="{00000000-0005-0000-0000-000003000000}"/>
    <cellStyle name="العنوان 2" xfId="3" xr:uid="{00000000-0005-0000-0000-00000F000000}"/>
    <cellStyle name="العنوان 2 2" xfId="5" xr:uid="{00000000-0005-0000-0000-000004000000}"/>
    <cellStyle name="العنوان 3 2" xfId="7" xr:uid="{00000000-0005-0000-0000-000005000000}"/>
    <cellStyle name="تمييز1" xfId="43" builtinId="29" customBuiltin="1"/>
    <cellStyle name="تمييز2" xfId="47" builtinId="33" customBuiltin="1"/>
    <cellStyle name="تمييز3" xfId="51" builtinId="37" customBuiltin="1"/>
    <cellStyle name="تمييز4" xfId="55" builtinId="41" customBuiltin="1"/>
    <cellStyle name="تمييز5" xfId="59" builtinId="45" customBuiltin="1"/>
    <cellStyle name="تمييز6" xfId="63" builtinId="49" customBuiltin="1"/>
    <cellStyle name="جيد" xfId="31" builtinId="26" customBuiltin="1"/>
    <cellStyle name="حساب" xfId="36" builtinId="22" customBuiltin="1"/>
    <cellStyle name="خلية تدقيق" xfId="38" builtinId="23" customBuiltin="1"/>
    <cellStyle name="خلية مرتبطة" xfId="37" builtinId="24" customBuiltin="1"/>
    <cellStyle name="سيئ" xfId="32" builtinId="27" customBuiltin="1"/>
    <cellStyle name="عادي" xfId="0" builtinId="0" customBuiltin="1"/>
    <cellStyle name="عادي 2" xfId="2" xr:uid="{00000000-0005-0000-0000-000008000000}"/>
    <cellStyle name="عادي 2 2" xfId="15" xr:uid="{00000000-0005-0000-0000-000009000000}"/>
    <cellStyle name="عادي 3" xfId="11" xr:uid="{00000000-0005-0000-0000-00000A000000}"/>
    <cellStyle name="عنوان" xfId="26" builtinId="15" customBuiltin="1"/>
    <cellStyle name="عنوان 1" xfId="27" builtinId="16" customBuiltin="1"/>
    <cellStyle name="عنوان 2" xfId="28" builtinId="17" customBuiltin="1"/>
    <cellStyle name="عنوان 3" xfId="29" builtinId="18" customBuiltin="1"/>
    <cellStyle name="عنوان 4" xfId="30" builtinId="19" customBuiltin="1"/>
    <cellStyle name="محايد" xfId="33" builtinId="28" customBuiltin="1"/>
    <cellStyle name="ملاحظة" xfId="40" builtinId="10" customBuiltin="1"/>
    <cellStyle name="نص البدء" xfId="1" xr:uid="{00000000-0005-0000-0000-00000E000000}"/>
    <cellStyle name="نص تحذير" xfId="39" builtinId="11" customBuiltin="1"/>
    <cellStyle name="نص توضيحي" xfId="41" builtinId="53" customBuiltin="1"/>
    <cellStyle name="نص عمود z A" xfId="6" xr:uid="{00000000-0005-0000-0000-000013000000}"/>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alignment horizontal="right" vertical="bottom" textRotation="0" wrapText="0" indent="0" justifyLastLine="0" shrinkToFit="0" readingOrder="2"/>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alignment horizontal="right" vertical="bottom" textRotation="0" wrapText="0" indent="0" justifyLastLine="0" shrinkToFit="0" readingOrder="2"/>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alignment horizontal="right" vertical="bottom" textRotation="0" wrapText="0" indent="0" justifyLastLine="0" shrinkToFit="0" readingOrder="2"/>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alignment horizontal="right" vertical="bottom" textRotation="0" wrapText="0" indent="0" justifyLastLine="0" shrinkToFit="0" readingOrder="2"/>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alignment horizontal="right" vertical="bottom" textRotation="0" wrapText="0" indent="0" justifyLastLine="0" shrinkToFit="0" readingOrder="2"/>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واجهة مستخدم Exccel"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1571;&#1587;&#1575;&#1587;&#1610;&#1575;&#1578;'!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6.png"/><Relationship Id="rId18" Type="http://schemas.openxmlformats.org/officeDocument/2006/relationships/image" Target="../media/image11.png"/><Relationship Id="rId3" Type="http://schemas.openxmlformats.org/officeDocument/2006/relationships/hyperlink" Target="#'&#1576;&#1583;&#1569;'!A1"/><Relationship Id="rId7" Type="http://schemas.openxmlformats.org/officeDocument/2006/relationships/image" Target="../media/image4.png"/><Relationship Id="rId12" Type="http://schemas.openxmlformats.org/officeDocument/2006/relationships/hyperlink" Target="https://support.office.com/ar-SA/article/excel-for-windows-training-9bc05390-e94c-46af-a5b3-d7c22f6990bb?ui=ar-SA&amp;rs=en-001&amp;ad=us" TargetMode="External"/><Relationship Id="rId17" Type="http://schemas.openxmlformats.org/officeDocument/2006/relationships/image" Target="../media/image10.png"/><Relationship Id="rId2" Type="http://schemas.openxmlformats.org/officeDocument/2006/relationships/hyperlink" Target="#'&#1605;&#1602;&#1583;&#1605;&#1577; &#1581;&#1608;&#1604; &#1575;&#1604;&#1583;&#1575;&#1604;&#1575;&#1578;'!A1"/><Relationship Id="rId16" Type="http://schemas.openxmlformats.org/officeDocument/2006/relationships/image" Target="../media/image9.svg"/><Relationship Id="rId1" Type="http://schemas.openxmlformats.org/officeDocument/2006/relationships/hyperlink" Target="#'&#1571;&#1587;&#1575;&#1587;&#1610;&#1575;&#1578;'!A60"/><Relationship Id="rId6" Type="http://schemas.openxmlformats.org/officeDocument/2006/relationships/hyperlink" Target="https://support.office.com/ar-SA/article/use-excel-as-your-calculator-a1abc057-ed11-443a-a635-68216555ad0a?ui=ar-SA&amp;rs=ar-001&amp;ad=SA" TargetMode="External"/><Relationship Id="rId11" Type="http://schemas.openxmlformats.org/officeDocument/2006/relationships/hyperlink" Target="https://support.office.com/ar-SA/article/excel-functions-alphabetical-b3944572-255d-4efb-bb96-c6d90033e188?ui=ar-SA&amp;rs=en-001&amp;ad=us" TargetMode="External"/><Relationship Id="rId5" Type="http://schemas.openxmlformats.org/officeDocument/2006/relationships/image" Target="../media/image3.svg"/><Relationship Id="rId15" Type="http://schemas.openxmlformats.org/officeDocument/2006/relationships/image" Target="../media/image8.png"/><Relationship Id="rId10" Type="http://schemas.openxmlformats.org/officeDocument/2006/relationships/hyperlink" Target="https://support.office.com/ar-SA/article/excel-functions-by-category-5f91f4e9-7b42-46d2-9bd1-63f26a86c0eb?ui=ar-SA&amp;rs=en-001&amp;ad=us" TargetMode="External"/><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hyperlink" Target="https://support.office.com/ar-SA/article/overview-of-formulas-in-excel-ecfdc708-9162-49e8-b993-c311f47ca173?ui=ar-SA&amp;rs=en-001&amp;ad=us" TargetMode="External"/><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hyperlink" Target="https://support.office.com/ar-SA/article/excel-for-windows-training-9bc05390-e94c-46af-a5b3-d7c22f6990bb?ui=ar-SA&amp;rs=en-001&amp;ad=us" TargetMode="External"/><Relationship Id="rId13" Type="http://schemas.openxmlformats.org/officeDocument/2006/relationships/image" Target="../media/image7.svg"/><Relationship Id="rId3" Type="http://schemas.openxmlformats.org/officeDocument/2006/relationships/hyperlink" Target="https://support.office.com/ar-SA/article/sum-function-043e1c7d-7726-4e80-8f32-07b23e057f89?ui=ar-SA&amp;rs=en-001&amp;ad=us" TargetMode="External"/><Relationship Id="rId7" Type="http://schemas.openxmlformats.org/officeDocument/2006/relationships/hyperlink" Target="https://support.office.com/ar-SA/article/count-function-a59cd7fc-b623-4d93-87a4-d23bf411294c?ui=ar-SA&amp;rs=en-001&amp;ad=us" TargetMode="External"/><Relationship Id="rId12" Type="http://schemas.openxmlformats.org/officeDocument/2006/relationships/image" Target="../media/image6.png"/><Relationship Id="rId17" Type="http://schemas.openxmlformats.org/officeDocument/2006/relationships/hyperlink" Target="#'&#1605;&#1602;&#1583;&#1605;&#1577; &#1581;&#1608;&#1604; &#1575;&#1604;&#1583;&#1575;&#1604;&#1575;&#1578;'!A63"/><Relationship Id="rId2" Type="http://schemas.openxmlformats.org/officeDocument/2006/relationships/hyperlink" Target="#AVERAGE!A1"/><Relationship Id="rId16" Type="http://schemas.openxmlformats.org/officeDocument/2006/relationships/image" Target="../media/image16.png"/><Relationship Id="rId1" Type="http://schemas.openxmlformats.org/officeDocument/2006/relationships/hyperlink" Target="#'&#1605;&#1602;&#1583;&#1605;&#1577; &#1581;&#1608;&#1604; &#1575;&#1604;&#1583;&#1575;&#1604;&#1575;&#1578;'!A1"/><Relationship Id="rId6" Type="http://schemas.openxmlformats.org/officeDocument/2006/relationships/hyperlink" Target="https://support.office.com/ar-SA/article/use-autosum-to-sum-numbers-543941e7-e783-44ef-8317-7d1bb85fe706?ui=ar-SA&amp;rs=en-001&amp;ad=us" TargetMode="External"/><Relationship Id="rId11" Type="http://schemas.openxmlformats.org/officeDocument/2006/relationships/image" Target="../media/image15.png"/><Relationship Id="rId5" Type="http://schemas.openxmlformats.org/officeDocument/2006/relationships/image" Target="../media/image5.svg"/><Relationship Id="rId15" Type="http://schemas.openxmlformats.org/officeDocument/2006/relationships/image" Target="../media/image3.svg"/><Relationship Id="rId10" Type="http://schemas.openxmlformats.org/officeDocument/2006/relationships/image" Target="../media/image14.svg"/><Relationship Id="rId4" Type="http://schemas.openxmlformats.org/officeDocument/2006/relationships/image" Target="../media/image4.png"/><Relationship Id="rId9" Type="http://schemas.openxmlformats.org/officeDocument/2006/relationships/image" Target="../media/image13.png"/><Relationship Id="rId1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support.office.com/ar-SA/article/median-function-d0916313-4753-414c-8537-ce85bdd967d2?ui=ar-SA&amp;rs=en-001&amp;ad=us" TargetMode="External"/><Relationship Id="rId3" Type="http://schemas.openxmlformats.org/officeDocument/2006/relationships/hyperlink" Target="#'&#1605;&#1602;&#1583;&#1605;&#1577; &#1581;&#1608;&#1604; &#1575;&#1604;&#1583;&#1575;&#1604;&#1575;&#1578;'!A1"/><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support.office.com/ar-SA/article/average-function-047bac88-d466-426c-a32b-8f33eb960cf6?ui=ar-SA&amp;rs=en-001&amp;ad=us" TargetMode="External"/><Relationship Id="rId10" Type="http://schemas.openxmlformats.org/officeDocument/2006/relationships/hyperlink" Target="https://support.office.com/ar-SA/article/excel-for-windows-training-9bc05390-e94c-46af-a5b3-d7c22f6990bb?ui=ar-SA&amp;rs=en-001&amp;ad=us" TargetMode="External"/><Relationship Id="rId4" Type="http://schemas.openxmlformats.org/officeDocument/2006/relationships/hyperlink" Target="#'&#1575;&#1604;&#1581;&#1583; &#1575;&#1604;&#1571;&#1583;&#1606;&#1609; &#1608;&#1575;&#1604;&#1581;&#1583; &#1575;&#1604;&#1571;&#1602;&#1589;&#1609;'!A1"/><Relationship Id="rId9" Type="http://schemas.openxmlformats.org/officeDocument/2006/relationships/hyperlink" Target="https://support.office.com/ar-SA/article/mode-function-e45192ce-9122-4980-82ed-4bdc34973120?ocmsassetid=e45192ce-9122-4980-82ed-4bdc34973120&amp;ui=ar-SA&amp;rs=en-001&amp;ad=us"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AVERAGE!A1"/><Relationship Id="rId3" Type="http://schemas.openxmlformats.org/officeDocument/2006/relationships/image" Target="../media/image5.sv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hyperlink" Target="https://support.office.com/ar-SA/article/min-function-61635d12-920f-4ce2-a70f-96f202dcc152?ui=ar-SA&amp;rs=en-001&amp;ad=us" TargetMode="External"/><Relationship Id="rId6" Type="http://schemas.openxmlformats.org/officeDocument/2006/relationships/image" Target="../media/image8.png"/><Relationship Id="rId5" Type="http://schemas.openxmlformats.org/officeDocument/2006/relationships/hyperlink" Target="https://support.office.com/ar-SA/article/excel-for-windows-training-9bc05390-e94c-46af-a5b3-d7c22f6990bb?ui=ar-SA&amp;rs=en-001&amp;ad=us" TargetMode="External"/><Relationship Id="rId4" Type="http://schemas.openxmlformats.org/officeDocument/2006/relationships/hyperlink" Target="https://support.office.com/ar-SA/article/max-function-e0012414-9ac8-4b34-9a47-73e662c08098?ui=ar-SA&amp;rs=en-001&amp;ad=us" TargetMode="External"/><Relationship Id="rId9" Type="http://schemas.openxmlformats.org/officeDocument/2006/relationships/hyperlink" Target="#'&#1575;&#1604;&#1578;&#1575;&#1585;&#1610;&#1582; &#1608;&#1575;&#1604;&#1608;&#1602;&#1578;'!A1"/></Relationships>
</file>

<file path=xl/drawings/_rels/drawing6.xml.rels><?xml version="1.0" encoding="UTF-8" standalone="yes"?>
<Relationships xmlns="http://schemas.openxmlformats.org/package/2006/relationships"><Relationship Id="rId8" Type="http://schemas.openxmlformats.org/officeDocument/2006/relationships/hyperlink" Target="https://support.office.com/ar-SA/article/now-function-3337fd29-145a-4347-b2e6-20c904739c46?ui=ar-SA&amp;rs=en-001&amp;ad=us" TargetMode="External"/><Relationship Id="rId3" Type="http://schemas.openxmlformats.org/officeDocument/2006/relationships/hyperlink" Target="#'&#1575;&#1604;&#1581;&#1583; &#1575;&#1604;&#1571;&#1583;&#1606;&#1609; &#1608;&#1575;&#1604;&#1581;&#1583; &#1575;&#1604;&#1571;&#1602;&#1589;&#1609;'!A1"/><Relationship Id="rId7" Type="http://schemas.openxmlformats.org/officeDocument/2006/relationships/image" Target="../media/image5.svg"/><Relationship Id="rId12" Type="http://schemas.openxmlformats.org/officeDocument/2006/relationships/image" Target="../media/image14.sv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3.png"/><Relationship Id="rId5" Type="http://schemas.openxmlformats.org/officeDocument/2006/relationships/hyperlink" Target="https://support.office.com/ar-SA/article/today-function-5eb3078d-a82c-4736-8930-2f51a028fdd9?ui=ar-SA&amp;rs=en-001&amp;ad=us" TargetMode="External"/><Relationship Id="rId10" Type="http://schemas.openxmlformats.org/officeDocument/2006/relationships/hyperlink" Target="https://support.office.com/ar-SA/article/date-function-e36c0c8c-4104-49da-ab83-82328b832349?ui=ar-SA&amp;rs=en-001&amp;ad=us" TargetMode="External"/><Relationship Id="rId4" Type="http://schemas.openxmlformats.org/officeDocument/2006/relationships/hyperlink" Target="#'&#1590;&#1605;&#1617; &#1575;&#1604;&#1606;&#1589; &#1608;&#1575;&#1604;&#1571;&#1585;&#1602;&#1575;&#1605;'!A1"/><Relationship Id="rId9" Type="http://schemas.openxmlformats.org/officeDocument/2006/relationships/hyperlink" Target="https://support.office.com/ar-SA/article/excel-for-windows-training-9bc05390-e94c-46af-a5b3-d7c22f6990bb?ui=ar-SA&amp;rs=en-001&amp;ad=us"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https://support.office.com/ar-SA/article/combine-text-and-numbers-a32c8e0e-90a2-435b-8635-5dd2209044ad?ui=ar-SA&amp;rs=en-001&amp;ad=us" TargetMode="External"/><Relationship Id="rId3" Type="http://schemas.openxmlformats.org/officeDocument/2006/relationships/image" Target="../media/image17.png"/><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hyperlink" Target="#'&#1593;&#1576;&#1575;&#1585;&#1575;&#1578; IF'!A1"/><Relationship Id="rId1" Type="http://schemas.openxmlformats.org/officeDocument/2006/relationships/hyperlink" Target="#'&#1575;&#1604;&#1578;&#1575;&#1585;&#1610;&#1582; &#1608;&#1575;&#1604;&#1608;&#1602;&#1578;'!A1"/><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support.office.com/ar-SA/article/text-function-20d5ac4d-7b94-49fd-bb38-93d29371225c?ui=ar-SA&amp;rs=en-001&amp;ad=us" TargetMode="External"/><Relationship Id="rId10" Type="http://schemas.openxmlformats.org/officeDocument/2006/relationships/hyperlink" Target="#'&#1590;&#1605;&#1617; &#1575;&#1604;&#1606;&#1589; &#1608;&#1575;&#1604;&#1571;&#1585;&#1602;&#1575;&#1605;'!A60"/><Relationship Id="rId4" Type="http://schemas.openxmlformats.org/officeDocument/2006/relationships/image" Target="../media/image18.svg"/><Relationship Id="rId9" Type="http://schemas.openxmlformats.org/officeDocument/2006/relationships/hyperlink" Target="https://support.office.com/ar-SA/article/excel-for-windows-training-9bc05390-e94c-46af-a5b3-d7c22f6990bb?ui=ar-SA&amp;rs=en-001&amp;ad=us" TargetMode="Externa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5.svg"/><Relationship Id="rId3" Type="http://schemas.openxmlformats.org/officeDocument/2006/relationships/image" Target="../media/image14.svg"/><Relationship Id="rId7" Type="http://schemas.openxmlformats.org/officeDocument/2006/relationships/image" Target="../media/image8.png"/><Relationship Id="rId12" Type="http://schemas.openxmlformats.org/officeDocument/2006/relationships/image" Target="../media/image4.png"/><Relationship Id="rId17" Type="http://schemas.openxmlformats.org/officeDocument/2006/relationships/image" Target="../media/image21.png"/><Relationship Id="rId2" Type="http://schemas.openxmlformats.org/officeDocument/2006/relationships/image" Target="../media/image13.png"/><Relationship Id="rId16" Type="http://schemas.openxmlformats.org/officeDocument/2006/relationships/hyperlink" Target="https://support.office.com/ar-SA/article/if-function-&#8211;-nested-formulas-and-avoiding-pitfalls-0b22ff44-f149-44ba-aeb5-4ef99da241c8?ui=ar-SA&amp;rs=en-001&amp;ad=us" TargetMode="External"/><Relationship Id="rId1" Type="http://schemas.openxmlformats.org/officeDocument/2006/relationships/hyperlink" Target="#VLOOKUP!A1"/><Relationship Id="rId6" Type="http://schemas.openxmlformats.org/officeDocument/2006/relationships/hyperlink" Target="https://support.office.com/ar-SA/article/Define-and-use-names-in-formulas-4D0F13AC-53B7-422E-AFD2-ABD7FF379C64" TargetMode="External"/><Relationship Id="rId11" Type="http://schemas.openxmlformats.org/officeDocument/2006/relationships/hyperlink" Target="https://support.office.com/ar-SA/article/if-function-69aed7c9-4e8a-4755-a9bc-aa8bbff73be2?ui=ar-SA&amp;rs=en-001&amp;ad=us" TargetMode="External"/><Relationship Id="rId5" Type="http://schemas.openxmlformats.org/officeDocument/2006/relationships/image" Target="../media/image20.svg"/><Relationship Id="rId15" Type="http://schemas.openxmlformats.org/officeDocument/2006/relationships/hyperlink" Target="https://support.office.com/ar-SA/article/excel-for-windows-training-9bc05390-e94c-46af-a5b3-d7c22f6990bb?ui=ar-SA&amp;rs=en-001&amp;ad=us" TargetMode="External"/><Relationship Id="rId10" Type="http://schemas.openxmlformats.org/officeDocument/2006/relationships/hyperlink" Target="#'&#1590;&#1605;&#1617; &#1575;&#1604;&#1606;&#1589; &#1608;&#1575;&#1604;&#1571;&#1585;&#1602;&#1575;&#1605;'!A1"/><Relationship Id="rId4" Type="http://schemas.openxmlformats.org/officeDocument/2006/relationships/image" Target="../media/image19.png"/><Relationship Id="rId9" Type="http://schemas.openxmlformats.org/officeDocument/2006/relationships/hyperlink" Target="#'&#1593;&#1576;&#1575;&#1585;&#1575;&#1578; IF'!A60"/><Relationship Id="rId14" Type="http://schemas.openxmlformats.org/officeDocument/2006/relationships/hyperlink" Target="https://support.office.com/ar-SA/article/ifs-function-36329a26-37b2-467c-972b-4a39bd951d45?ui=ar-SA&amp;rs=en-001&amp;ad=us"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https://support.office.com/ar-SA/article/create-a-pivottable-to-analyze-worksheet-data-a9a84538-bfe9-40a9-a8e9-f99134456576?ui=ar-SA&amp;rs=en-001&amp;ad=us" TargetMode="External"/><Relationship Id="rId13" Type="http://schemas.openxmlformats.org/officeDocument/2006/relationships/image" Target="../media/image22.png"/><Relationship Id="rId3" Type="http://schemas.openxmlformats.org/officeDocument/2006/relationships/image" Target="../media/image4.png"/><Relationship Id="rId7" Type="http://schemas.openxmlformats.org/officeDocument/2006/relationships/hyperlink" Target="https://support.office.com/ar-SA/article/iferror-function-c526fd07-caeb-47b8-8bb6-63f3e417f611?ui=ar-SA&amp;rs=en-001&amp;ad=us" TargetMode="External"/><Relationship Id="rId12" Type="http://schemas.openxmlformats.org/officeDocument/2006/relationships/image" Target="../media/image14.svg"/><Relationship Id="rId2" Type="http://schemas.openxmlformats.org/officeDocument/2006/relationships/hyperlink" Target="https://support.office.com/ar-SA/article/vlookup-function-0bbc8083-26fe-4963-8ab8-93a18ad188a1" TargetMode="External"/><Relationship Id="rId1" Type="http://schemas.openxmlformats.org/officeDocument/2006/relationships/hyperlink" Target="#'&#1575;&#1604;&#1583;&#1575;&#1604;&#1575;&#1578; &#1575;&#1604;&#1588;&#1585;&#1591;&#1610;&#1577;'!A1"/><Relationship Id="rId6" Type="http://schemas.openxmlformats.org/officeDocument/2006/relationships/hyperlink" Target="https://support.office.com/ar-SA/article/excel-for-windows-training-9bc05390-e94c-46af-a5b3-d7c22f6990bb?ui=ar-SA&amp;rs=en-001&amp;ad=us" TargetMode="External"/><Relationship Id="rId11" Type="http://schemas.openxmlformats.org/officeDocument/2006/relationships/image" Target="../media/image13.png"/><Relationship Id="rId5" Type="http://schemas.openxmlformats.org/officeDocument/2006/relationships/hyperlink" Target="https://support.office.com/ar-SA/article/match-function-e8dffd45-c762-47d6-bf89-533f4a37673a" TargetMode="External"/><Relationship Id="rId10" Type="http://schemas.openxmlformats.org/officeDocument/2006/relationships/hyperlink" Target="#'&#1593;&#1576;&#1575;&#1585;&#1575;&#1578; IF'!A1"/><Relationship Id="rId4" Type="http://schemas.openxmlformats.org/officeDocument/2006/relationships/image" Target="../media/image5.svg"/><Relationship Id="rId9" Type="http://schemas.openxmlformats.org/officeDocument/2006/relationships/hyperlink" Target="#VLOOKUP!D62"/><Relationship Id="rId14" Type="http://schemas.openxmlformats.org/officeDocument/2006/relationships/image" Target="../media/image23.svg"/></Relationships>
</file>

<file path=xl/drawings/_rels/drawing10.xml.rels><?xml version="1.0" encoding="UTF-8" standalone="yes"?>
<Relationships xmlns="http://schemas.openxmlformats.org/package/2006/relationships"><Relationship Id="rId8" Type="http://schemas.openxmlformats.org/officeDocument/2006/relationships/hyperlink" Target="https://support.office.com/ar-SA/article/maxifs-function-dfd611e6-da2c-488a-919b-9b6376b28883?ui=ar-SA&amp;rs=en-001&amp;ad=us" TargetMode="External"/><Relationship Id="rId13" Type="http://schemas.openxmlformats.org/officeDocument/2006/relationships/hyperlink" Target="https://support.office.com/ar-SA/article/sumifs-function-c9e748f5-7ea7-455d-9406-611cebce642b?ui=ar-SA&amp;rs=en-001&amp;ad=us" TargetMode="External"/><Relationship Id="rId18" Type="http://schemas.openxmlformats.org/officeDocument/2006/relationships/image" Target="../media/image24.png"/><Relationship Id="rId3" Type="http://schemas.openxmlformats.org/officeDocument/2006/relationships/hyperlink" Target="#'&#1605;&#1593;&#1575;&#1604;&#1580; &#1575;&#1604;&#1583;&#1575;&#1604;&#1577;'!A1"/><Relationship Id="rId21" Type="http://schemas.openxmlformats.org/officeDocument/2006/relationships/hyperlink" Target="#'&#1575;&#1604;&#1583;&#1575;&#1604;&#1575;&#1578; &#1575;&#1604;&#1588;&#1585;&#1591;&#1610;&#1577;'!A130"/><Relationship Id="rId7" Type="http://schemas.openxmlformats.org/officeDocument/2006/relationships/image" Target="../media/image5.svg"/><Relationship Id="rId12" Type="http://schemas.openxmlformats.org/officeDocument/2006/relationships/hyperlink" Target="https://support.office.com/ar-SA/article/countifs-function-dda3dc6e-f74e-4aee-88bc-aa8c2a866842?ui=ar-SA&amp;rs=en-001&amp;ad=us" TargetMode="External"/><Relationship Id="rId17" Type="http://schemas.openxmlformats.org/officeDocument/2006/relationships/hyperlink" Target="https://support.office.com/en-us/article/Create-a-PivotTable-to-analyze-worksheet-data-A9A84538-BFE9-40A9-A8E9-F99134456576" TargetMode="External"/><Relationship Id="rId2" Type="http://schemas.openxmlformats.org/officeDocument/2006/relationships/image" Target="../media/image9.svg"/><Relationship Id="rId16" Type="http://schemas.openxmlformats.org/officeDocument/2006/relationships/hyperlink" Target="https://support.office.com/ar-SA/article/create-a-drop-down-list-7693307a-59ef-400a-b769-c5402dce407b?ui=ar-SA&amp;rs=en-001&amp;ad=us" TargetMode="External"/><Relationship Id="rId20" Type="http://schemas.openxmlformats.org/officeDocument/2006/relationships/hyperlink" Target="#'&#1575;&#1604;&#1583;&#1575;&#1604;&#1575;&#1578; &#1575;&#1604;&#1588;&#1585;&#1591;&#1610;&#1577;'!A85"/><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hyperlink" Target="https://support.office.com/ar-SA/article/minifs-function-6ca1ddaa-079b-4e74-80cc-72eef32e6599?ui=ar-SA&amp;rs=en-001&amp;ad=us" TargetMode="External"/><Relationship Id="rId5" Type="http://schemas.openxmlformats.org/officeDocument/2006/relationships/hyperlink" Target="https://support.office.com/ar-SA/article/excel-for-windows-training-9bc05390-e94c-46af-a5b3-d7c22f6990bb?ui=ar-SA&amp;rs=en-001&amp;ad=us" TargetMode="External"/><Relationship Id="rId15" Type="http://schemas.openxmlformats.org/officeDocument/2006/relationships/hyperlink" Target="https://support.office.com/ar-SA/article/countif-function-e0de10c6-f885-4e71-abb4-1f464816df34?ui=ar-SA&amp;rs=en-001&amp;ad=us" TargetMode="External"/><Relationship Id="rId10" Type="http://schemas.openxmlformats.org/officeDocument/2006/relationships/hyperlink" Target="https://support.office.com/ar-SA/article/averageif-function-faec8e2e-0dec-4308-af69-f5576d8ac642?ui=ar-SA&amp;rs=en-001&amp;ad=us" TargetMode="External"/><Relationship Id="rId19" Type="http://schemas.openxmlformats.org/officeDocument/2006/relationships/image" Target="../media/image20.svg"/><Relationship Id="rId4" Type="http://schemas.openxmlformats.org/officeDocument/2006/relationships/hyperlink" Target="#'&#1575;&#1604;&#1583;&#1575;&#1604;&#1575;&#1578; &#1575;&#1604;&#1588;&#1585;&#1591;&#1610;&#1577;'!A1"/><Relationship Id="rId9" Type="http://schemas.openxmlformats.org/officeDocument/2006/relationships/hyperlink" Target="https://support.office.com/ar-SA/article/averageifs-function-48910c45-1fc0-4389-a028-f7c5c3001690?ui=ar-SA&amp;rs=en-001&amp;ad=us" TargetMode="External"/><Relationship Id="rId14" Type="http://schemas.openxmlformats.org/officeDocument/2006/relationships/hyperlink" Target="https://support.office.com/ar-SA/article/sumif-function-169b8c99-c05c-4483-a712-1697a653039b?ui=ar-SA&amp;rs=en-001&amp;ad=us" TargetMode="External"/><Relationship Id="rId22" Type="http://schemas.openxmlformats.org/officeDocument/2006/relationships/hyperlink" Target="#'&#1575;&#1604;&#1583;&#1575;&#1604;&#1575;&#1578; &#1575;&#1604;&#1588;&#1585;&#1591;&#1610;&#1577;'!A138"/></Relationships>
</file>

<file path=xl/drawings/_rels/drawing11.xml.rels><?xml version="1.0" encoding="UTF-8" standalone="yes"?>
<Relationships xmlns="http://schemas.openxmlformats.org/package/2006/relationships"><Relationship Id="rId8" Type="http://schemas.openxmlformats.org/officeDocument/2006/relationships/hyperlink" Target="https://support.office.com/ar-SA/article/excel-functions-alphabetical-b3944572-255d-4efb-bb96-c6d90033e188?ui=ar-SA&amp;rs=en-001&amp;ad=us" TargetMode="External"/><Relationship Id="rId13" Type="http://schemas.openxmlformats.org/officeDocument/2006/relationships/image" Target="../media/image9.svg"/><Relationship Id="rId3" Type="http://schemas.openxmlformats.org/officeDocument/2006/relationships/hyperlink" Target="https://support.office.com/ar-SA/article/overview-of-formulas-in-excel-ecfdc708-9162-49e8-b993-c311f47ca173?ui=ar-SA&amp;rs=en-001&amp;ad=us" TargetMode="External"/><Relationship Id="rId7" Type="http://schemas.openxmlformats.org/officeDocument/2006/relationships/hyperlink" Target="https://support.office.com/ar-SA/article/excel-for-windows-training-9bc05390-e94c-46af-a5b3-d7c22f6990bb?ui=ar-SA&amp;rs=en-001&amp;ad=us" TargetMode="External"/><Relationship Id="rId12"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https://support.office.com/ar-SA/article/excel-functions-by-category-5f91f4e9-7b42-46d2-9bd1-63f26a86c0eb?ui=ar-SA&amp;rs=en-001&amp;ad=us" TargetMode="External"/><Relationship Id="rId11" Type="http://schemas.openxmlformats.org/officeDocument/2006/relationships/image" Target="../media/image25.png"/><Relationship Id="rId5" Type="http://schemas.openxmlformats.org/officeDocument/2006/relationships/image" Target="../media/image5.svg"/><Relationship Id="rId10" Type="http://schemas.openxmlformats.org/officeDocument/2006/relationships/hyperlink" Target="#'&#1571;&#1582;&#1591;&#1575;&#1569; &#1601;&#1610; &#1575;&#1604;&#1589;&#1610;&#1594;&#1577;'!A1"/><Relationship Id="rId4" Type="http://schemas.openxmlformats.org/officeDocument/2006/relationships/image" Target="../media/image4.png"/><Relationship Id="rId9" Type="http://schemas.openxmlformats.org/officeDocument/2006/relationships/hyperlink" Target="#'&#1575;&#1604;&#1583;&#1575;&#1604;&#1575;&#1578; &#1575;&#1604;&#1588;&#1585;&#1591;&#1610;&#1577;'!A1"/></Relationships>
</file>

<file path=xl/drawings/_rels/drawing1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https://support.office.com/ar-SA/article/excel-for-windows-training-9bc05390-e94c-46af-a5b3-d7c22f6990bb?ui=ar-SA&amp;rs=en-001&amp;ad=us" TargetMode="External"/><Relationship Id="rId3" Type="http://schemas.openxmlformats.org/officeDocument/2006/relationships/hyperlink" Target="#'&#1605;&#1593;&#1575;&#1604;&#1580; &#1575;&#1604;&#1583;&#1575;&#1604;&#1577;'!A1"/><Relationship Id="rId7" Type="http://schemas.openxmlformats.org/officeDocument/2006/relationships/image" Target="../media/image8.png"/><Relationship Id="rId12" Type="http://schemas.openxmlformats.org/officeDocument/2006/relationships/hyperlink" Target="https://support.office.com/ar-SA/article/how-to-avoid-broken-formulas-8309381d-33e8-42f6-b889-84ef6df1d586?ui=ar-SA&amp;rs=en-001&amp;ad=us" TargetMode="External"/><Relationship Id="rId2" Type="http://schemas.openxmlformats.org/officeDocument/2006/relationships/image" Target="../media/image27.png"/><Relationship Id="rId1" Type="http://schemas.openxmlformats.org/officeDocument/2006/relationships/image" Target="../media/image26.png"/><Relationship Id="rId6" Type="http://schemas.openxmlformats.org/officeDocument/2006/relationships/image" Target="../media/image23.svg"/><Relationship Id="rId11" Type="http://schemas.openxmlformats.org/officeDocument/2006/relationships/image" Target="../media/image5.svg"/><Relationship Id="rId5" Type="http://schemas.openxmlformats.org/officeDocument/2006/relationships/image" Target="../media/image22.png"/><Relationship Id="rId10" Type="http://schemas.openxmlformats.org/officeDocument/2006/relationships/image" Target="../media/image4.png"/><Relationship Id="rId4" Type="http://schemas.openxmlformats.org/officeDocument/2006/relationships/hyperlink" Target="#'&#1575;&#1604;&#1578;&#1593;&#1585;&#1617;&#1601; &#1593;&#1604;&#1609; &#1575;&#1604;&#1605;&#1586;&#1610;&#1583;'!A1"/><Relationship Id="rId9" Type="http://schemas.openxmlformats.org/officeDocument/2006/relationships/hyperlink" Target="https://support.office.com/ar-SA/article/detect-errors-in-formulas-3a8acca5-1d61-4702-80e0-99a36a2822c1?ui=ar-SA&amp;rs=en-001&amp;ad=us" TargetMode="External"/><Relationship Id="rId14" Type="http://schemas.openxmlformats.org/officeDocument/2006/relationships/hyperlink" Target="https://go.microsoft.com/fwlink/?linkid=862334"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s://go.microsoft.com/fwlink/?linkid=859431" TargetMode="External"/><Relationship Id="rId7" Type="http://schemas.openxmlformats.org/officeDocument/2006/relationships/image" Target="../media/image32.svg"/><Relationship Id="rId2" Type="http://schemas.openxmlformats.org/officeDocument/2006/relationships/image" Target="../media/image29.png"/><Relationship Id="rId1" Type="http://schemas.openxmlformats.org/officeDocument/2006/relationships/image" Target="../media/image28.png"/><Relationship Id="rId6" Type="http://schemas.openxmlformats.org/officeDocument/2006/relationships/image" Target="../media/image31.png"/><Relationship Id="rId5" Type="http://schemas.openxmlformats.org/officeDocument/2006/relationships/image" Target="../media/image30.png"/><Relationship Id="rId4" Type="http://schemas.openxmlformats.org/officeDocument/2006/relationships/hyperlink" Target="https://support.office.com/ar-SA/article/what-s-new-in-excel-for-office-365-5fdb9208-ff33-45b6-9e08-1f5cdb3a6c73?ui=ar-SA&amp;rs=en-001&amp;ad=us"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161923</xdr:colOff>
      <xdr:row>3</xdr:row>
      <xdr:rowOff>2230439</xdr:rowOff>
    </xdr:from>
    <xdr:to>
      <xdr:col>0</xdr:col>
      <xdr:colOff>2028825</xdr:colOff>
      <xdr:row>3</xdr:row>
      <xdr:rowOff>3227388</xdr:rowOff>
    </xdr:to>
    <xdr:pic>
      <xdr:nvPicPr>
        <xdr:cNvPr id="2" name="الصورة 1" descr="شعار Excel">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3894469925" y="4335464"/>
          <a:ext cx="1866902" cy="996949"/>
        </a:xfrm>
        <a:prstGeom prst="rect">
          <a:avLst/>
        </a:prstGeom>
      </xdr:spPr>
    </xdr:pic>
    <xdr:clientData/>
  </xdr:twoCellAnchor>
  <xdr:absoluteAnchor>
    <xdr:pos x="7258050" y="4779963"/>
    <xdr:ext cx="1170432" cy="514350"/>
    <xdr:sp macro="" textlink="">
      <xdr:nvSpPr>
        <xdr:cNvPr id="3" name="زر &quot;التالي&quot;" descr="شكل زر الارتباط التشعبي للانتقال إلى الخطوة التالية">
          <a:hlinkClick xmlns:r="http://schemas.openxmlformats.org/officeDocument/2006/relationships" r:id="rId2" tooltip="حدد لبدء الجولة"/>
          <a:extLst>
            <a:ext uri="{FF2B5EF4-FFF2-40B4-BE49-F238E27FC236}">
              <a16:creationId xmlns:a16="http://schemas.microsoft.com/office/drawing/2014/main" id="{A16C62F8-5DAF-4A85-B660-EDB91A61244F}"/>
            </a:ext>
          </a:extLst>
        </xdr:cNvPr>
        <xdr:cNvSpPr/>
      </xdr:nvSpPr>
      <xdr:spPr>
        <a:xfrm>
          <a:off x="12171465243" y="4779963"/>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1" anchor="ctr"/>
        <a:lstStyle/>
        <a:p>
          <a:pPr algn="ctr" rtl="1"/>
          <a:r>
            <a:rPr lang="ar" sz="1750" b="0" cap="none" spc="0" baseline="0">
              <a:ln>
                <a:noFill/>
              </a:ln>
              <a:solidFill>
                <a:srgbClr val="217346"/>
              </a:solidFill>
              <a:effectLst/>
              <a:latin typeface="Tahoma" panose="020B0604030504040204" pitchFamily="34" charset="0"/>
              <a:ea typeface="Segoe UI" pitchFamily="34" charset="0"/>
              <a:cs typeface="Tahoma" panose="020B0604030504040204" pitchFamily="34" charset="0"/>
            </a:rPr>
            <a:t>فلنبدأ &gt;</a:t>
          </a:r>
          <a:endParaRPr lang="en-US" sz="1750" b="0" cap="none" spc="0">
            <a:ln>
              <a:noFill/>
            </a:ln>
            <a:solidFill>
              <a:srgbClr val="217346"/>
            </a:solidFill>
            <a:effectLst/>
            <a:latin typeface="Tahoma" panose="020B0604030504040204" pitchFamily="34" charset="0"/>
            <a:ea typeface="Segoe UI" pitchFamily="34" charset="0"/>
            <a:cs typeface="Tahoma" panose="020B0604030504040204"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345256</xdr:colOff>
      <xdr:row>0</xdr:row>
      <xdr:rowOff>352425</xdr:rowOff>
    </xdr:from>
    <xdr:to>
      <xdr:col>1</xdr:col>
      <xdr:colOff>5154619</xdr:colOff>
      <xdr:row>23</xdr:row>
      <xdr:rowOff>95250</xdr:rowOff>
    </xdr:to>
    <xdr:grpSp>
      <xdr:nvGrpSpPr>
        <xdr:cNvPr id="106" name="مجموعة 105">
          <a:extLst>
            <a:ext uri="{FF2B5EF4-FFF2-40B4-BE49-F238E27FC236}">
              <a16:creationId xmlns:a16="http://schemas.microsoft.com/office/drawing/2014/main" id="{B02C2868-90B4-49F8-9B54-D2DE144C06FB}"/>
            </a:ext>
          </a:extLst>
        </xdr:cNvPr>
        <xdr:cNvGrpSpPr/>
      </xdr:nvGrpSpPr>
      <xdr:grpSpPr>
        <a:xfrm flipH="1">
          <a:off x="11394022481" y="352425"/>
          <a:ext cx="5771388" cy="4591050"/>
          <a:chOff x="333375" y="266700"/>
          <a:chExt cx="5695950" cy="4572000"/>
        </a:xfrm>
      </xdr:grpSpPr>
      <xdr:grpSp>
        <xdr:nvGrpSpPr>
          <xdr:cNvPr id="107" name="إضافة إرشاد الأرقام">
            <a:extLst>
              <a:ext uri="{FF2B5EF4-FFF2-40B4-BE49-F238E27FC236}">
                <a16:creationId xmlns:a16="http://schemas.microsoft.com/office/drawing/2014/main" id="{6A0EC01A-7B98-4483-A182-0263FDEAEC51}"/>
              </a:ext>
            </a:extLst>
          </xdr:cNvPr>
          <xdr:cNvGrpSpPr/>
        </xdr:nvGrpSpPr>
        <xdr:grpSpPr>
          <a:xfrm>
            <a:off x="333375" y="266700"/>
            <a:ext cx="5695950" cy="4572000"/>
            <a:chOff x="0" y="0"/>
            <a:chExt cx="5695950" cy="4619625"/>
          </a:xfrm>
        </xdr:grpSpPr>
        <xdr:sp macro="" textlink="">
          <xdr:nvSpPr>
            <xdr:cNvPr id="121" name="الخلفية" descr="الخلفية">
              <a:extLst>
                <a:ext uri="{FF2B5EF4-FFF2-40B4-BE49-F238E27FC236}">
                  <a16:creationId xmlns:a16="http://schemas.microsoft.com/office/drawing/2014/main" id="{2147F87B-DB9B-4472-AAD1-ABC163A3B03F}"/>
                </a:ext>
              </a:extLst>
            </xdr:cNvPr>
            <xdr:cNvSpPr/>
          </xdr:nvSpPr>
          <xdr:spPr>
            <a:xfrm flipH="1">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122" name="الخطوة" descr="أساسيات: تنفيذ العمليات الرياضية باستخدام Excel&#10;">
              <a:extLst>
                <a:ext uri="{FF2B5EF4-FFF2-40B4-BE49-F238E27FC236}">
                  <a16:creationId xmlns:a16="http://schemas.microsoft.com/office/drawing/2014/main" id="{527A2F1F-8B85-44FB-84D2-005AA1509431}"/>
                </a:ext>
              </a:extLst>
            </xdr:cNvPr>
            <xdr:cNvSpPr txBox="1"/>
          </xdr:nvSpPr>
          <xdr:spPr>
            <a:xfrm flipH="1">
              <a:off x="184432" y="118698"/>
              <a:ext cx="5500544"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أساسيات: تنفيذ العمليات الرياضية باستخدام Excel</a:t>
              </a:r>
              <a:endParaRPr kumimoji="0" lang="en-US" sz="2200" b="1" i="1"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23" name="زر المزيد من التفاصيل" descr="انتقل إلى الأسفل لمزيد من التفاصيل">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flipH="1">
              <a:off x="234924" y="3996494"/>
              <a:ext cx="2723067" cy="53645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انتقل إلى الأسفل لمزيد من التفاصيل</a:t>
              </a:r>
            </a:p>
          </xdr:txBody>
        </xdr:sp>
        <xdr:cxnSp macro="">
          <xdr:nvCxnSpPr>
            <xdr:cNvPr id="124" name="سطر سفلي" descr="سطر مزخرف">
              <a:extLst>
                <a:ext uri="{FF2B5EF4-FFF2-40B4-BE49-F238E27FC236}">
                  <a16:creationId xmlns:a16="http://schemas.microsoft.com/office/drawing/2014/main" id="{50B75431-5A3C-410B-A96B-E6824F0F2D01}"/>
                </a:ext>
              </a:extLst>
            </xdr:cNvPr>
            <xdr:cNvCxnSpPr>
              <a:cxnSpLocks/>
            </xdr:cNvCxnSpPr>
          </xdr:nvCxnSpPr>
          <xdr:spPr>
            <a:xfrm flipH="1">
              <a:off x="184433" y="384125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زر &quot;التالي&quot;" descr="زر &quot;الخطوة التالية&quot;، الارتباط التشعبي إلى الورقة التالية">
              <a:hlinkClick xmlns:r="http://schemas.openxmlformats.org/officeDocument/2006/relationships" r:id="rId2" tooltip="انقر هنا للتقدم إلى ورقة العمل التالية"/>
              <a:extLst>
                <a:ext uri="{FF2B5EF4-FFF2-40B4-BE49-F238E27FC236}">
                  <a16:creationId xmlns:a16="http://schemas.microsoft.com/office/drawing/2014/main" id="{B0BBFD4D-9951-4AC0-8CF1-AD7AD1715BA1}"/>
                </a:ext>
              </a:extLst>
            </xdr:cNvPr>
            <xdr:cNvSpPr/>
          </xdr:nvSpPr>
          <xdr:spPr>
            <a:xfrm>
              <a:off x="4162097" y="3996497"/>
              <a:ext cx="1286204"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الخطوة التالية</a:t>
              </a:r>
            </a:p>
          </xdr:txBody>
        </xdr:sp>
        <xdr:cxnSp macro="">
          <xdr:nvCxnSpPr>
            <xdr:cNvPr id="126" name="السطر العلوي" descr="سطر مزخرف">
              <a:extLst>
                <a:ext uri="{FF2B5EF4-FFF2-40B4-BE49-F238E27FC236}">
                  <a16:creationId xmlns:a16="http://schemas.microsoft.com/office/drawing/2014/main" id="{6E3272E8-3D34-4BC2-A3B8-CFAA0B7306AE}"/>
                </a:ext>
              </a:extLst>
            </xdr:cNvPr>
            <xdr:cNvCxnSpPr>
              <a:cxnSpLocks/>
            </xdr:cNvCxnSpPr>
          </xdr:nvCxnSpPr>
          <xdr:spPr>
            <a:xfrm flipH="1">
              <a:off x="184421" y="923224"/>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نص_ الخطوة" descr="يمكنك الإضافة والطرح والضرب والقسمة في Excel دون استخدام الدالات المضمنة. يجب أن تستخدم عوامل التشغيل + و- و* و/. تبدأ كل الصيغ بعلامة يساوي (=).">
            <a:extLst>
              <a:ext uri="{FF2B5EF4-FFF2-40B4-BE49-F238E27FC236}">
                <a16:creationId xmlns:a16="http://schemas.microsoft.com/office/drawing/2014/main" id="{8742DC30-0FF1-4950-98D1-1D4D2D7B33ED}"/>
              </a:ext>
            </a:extLst>
          </xdr:cNvPr>
          <xdr:cNvSpPr txBox="1"/>
        </xdr:nvSpPr>
        <xdr:spPr>
          <a:xfrm flipH="1">
            <a:off x="451745" y="1335935"/>
            <a:ext cx="5284985" cy="476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يمكنك الإضافة والطرح والضرب والقسمة في Excel دون استخدام الدالات المضمنة. يجب أن تستخدم بعض عوامل التشغيل الأساسية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تبدأ كل الصيغ بعلامة يساوي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grpSp>
        <xdr:nvGrpSpPr>
          <xdr:cNvPr id="109" name="مجموعة_الخطوات">
            <a:extLst>
              <a:ext uri="{FF2B5EF4-FFF2-40B4-BE49-F238E27FC236}">
                <a16:creationId xmlns:a16="http://schemas.microsoft.com/office/drawing/2014/main" id="{344307E7-8939-4DC6-90D0-121C6023E34E}"/>
              </a:ext>
            </a:extLst>
          </xdr:cNvPr>
          <xdr:cNvGrpSpPr/>
        </xdr:nvGrpSpPr>
        <xdr:grpSpPr>
          <a:xfrm>
            <a:off x="542925" y="1923490"/>
            <a:ext cx="5419023" cy="596221"/>
            <a:chOff x="609600" y="7943290"/>
            <a:chExt cx="5383865" cy="596221"/>
          </a:xfrm>
        </xdr:grpSpPr>
        <xdr:sp macro="" textlink="">
          <xdr:nvSpPr>
            <xdr:cNvPr id="119" name="نص_ الخطوة" descr="للإضافة، حدد الخلية F3، اكتب =C3+C4، ثم اضغط على مفتاح الإدخال Enter. &#10;">
              <a:extLst>
                <a:ext uri="{FF2B5EF4-FFF2-40B4-BE49-F238E27FC236}">
                  <a16:creationId xmlns:a16="http://schemas.microsoft.com/office/drawing/2014/main" id="{F002E929-4219-4978-A490-F2DD449CF4AA}"/>
                </a:ext>
              </a:extLst>
            </xdr:cNvPr>
            <xdr:cNvSpPr txBox="1"/>
          </xdr:nvSpPr>
          <xdr:spPr>
            <a:xfrm flipH="1">
              <a:off x="1017294" y="7985262"/>
              <a:ext cx="4976171"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من أجل </a:t>
              </a:r>
              <a:r>
                <a:rPr lang="ar"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الإضافة</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حدد الخلية </a:t>
              </a:r>
              <a:r>
                <a:rPr lang="en-US"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F3</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اكتب</a:t>
              </a:r>
              <a:r>
                <a:rPr lang="en-US"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=C3+C4 </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ثم اضغط على </a:t>
              </a:r>
              <a:r>
                <a:rPr lang="ar"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مفتاح الإدخال </a:t>
              </a:r>
              <a:r>
                <a:rPr lang="ar"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Enter </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20" name="شكل_الخطوة" descr="2">
              <a:extLst>
                <a:ext uri="{FF2B5EF4-FFF2-40B4-BE49-F238E27FC236}">
                  <a16:creationId xmlns:a16="http://schemas.microsoft.com/office/drawing/2014/main" id="{2E6406AB-C476-48D1-BEA6-869A7184608F}"/>
                </a:ext>
              </a:extLst>
            </xdr:cNvPr>
            <xdr:cNvSpPr/>
          </xdr:nvSpPr>
          <xdr:spPr>
            <a:xfrm flipH="1">
              <a:off x="609600" y="794329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110" name="مجموعة_الخطوات">
            <a:extLst>
              <a:ext uri="{FF2B5EF4-FFF2-40B4-BE49-F238E27FC236}">
                <a16:creationId xmlns:a16="http://schemas.microsoft.com/office/drawing/2014/main" id="{8FFCD9EA-E2D0-4CB7-A158-043B5D0A28C7}"/>
              </a:ext>
            </a:extLst>
          </xdr:cNvPr>
          <xdr:cNvGrpSpPr/>
        </xdr:nvGrpSpPr>
        <xdr:grpSpPr>
          <a:xfrm>
            <a:off x="542925" y="2466415"/>
            <a:ext cx="5447226" cy="596221"/>
            <a:chOff x="609600" y="7943290"/>
            <a:chExt cx="5411885" cy="596221"/>
          </a:xfrm>
        </xdr:grpSpPr>
        <xdr:sp macro="" textlink="">
          <xdr:nvSpPr>
            <xdr:cNvPr id="117" name="نص_ الخطوة" descr="للطرح، حدد الخلية F4، واكتب =C3-C4 ثم اضغط على مفتاح الإدخال Enter. &#10;">
              <a:extLst>
                <a:ext uri="{FF2B5EF4-FFF2-40B4-BE49-F238E27FC236}">
                  <a16:creationId xmlns:a16="http://schemas.microsoft.com/office/drawing/2014/main" id="{CADFDA66-201E-4B9E-93C9-81C8D7287166}"/>
                </a:ext>
              </a:extLst>
            </xdr:cNvPr>
            <xdr:cNvSpPr txBox="1"/>
          </xdr:nvSpPr>
          <xdr:spPr>
            <a:xfrm flipH="1">
              <a:off x="1017295" y="7985262"/>
              <a:ext cx="500419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من أجل </a:t>
              </a:r>
              <a:r>
                <a:rPr lang="ar"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الطرح</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حدد الخلية </a:t>
              </a:r>
              <a:r>
                <a:rPr lang="en-US"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F4</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واكتب </a:t>
              </a:r>
              <a:r>
                <a:rPr lang="en-US"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=C3-C4</a:t>
              </a:r>
              <a:r>
                <a:rPr lang="ar" sz="1100" b="0" i="0" kern="1200" spc="-30" baseline="0">
                  <a:solidFill>
                    <a:schemeClr val="dk1"/>
                  </a:solidFill>
                  <a:effectLst/>
                  <a:latin typeface="Tahoma" panose="020B0604030504040204" pitchFamily="34" charset="0"/>
                  <a:ea typeface="+mn-ea"/>
                  <a:cs typeface="Tahoma" panose="020B0604030504040204" pitchFamily="34" charset="0"/>
                </a:rPr>
                <a:t>، ثم اضغط على مفتاح الإدخال </a:t>
              </a:r>
              <a:r>
                <a:rPr lang="ar" sz="1100" b="1" i="0" kern="1200" spc="-30" baseline="0">
                  <a:solidFill>
                    <a:schemeClr val="dk1"/>
                  </a:solidFill>
                  <a:effectLst/>
                  <a:latin typeface="Tahoma" panose="020B0604030504040204" pitchFamily="34" charset="0"/>
                  <a:ea typeface="+mn-ea"/>
                  <a:cs typeface="Tahoma" panose="020B0604030504040204" pitchFamily="34" charset="0"/>
                </a:rPr>
                <a:t>Enter</a:t>
              </a:r>
              <a:r>
                <a:rPr lang="ar" sz="1100" b="0" i="0" kern="1200" spc="-30" baseline="0">
                  <a:solidFill>
                    <a:schemeClr val="dk1"/>
                  </a:solidFill>
                  <a:effectLst/>
                  <a:latin typeface="Tahoma" panose="020B0604030504040204" pitchFamily="34" charset="0"/>
                  <a:ea typeface="+mn-ea"/>
                  <a:cs typeface="Tahoma" panose="020B0604030504040204" pitchFamily="34" charset="0"/>
                </a:rPr>
                <a:t>. </a:t>
              </a:r>
              <a:endParaRPr kumimoji="0" lang="en-US"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18" name="شكل_الخطوة" descr="3">
              <a:extLst>
                <a:ext uri="{FF2B5EF4-FFF2-40B4-BE49-F238E27FC236}">
                  <a16:creationId xmlns:a16="http://schemas.microsoft.com/office/drawing/2014/main" id="{30447D02-8C17-460D-8A68-AA7AAC297B58}"/>
                </a:ext>
              </a:extLst>
            </xdr:cNvPr>
            <xdr:cNvSpPr/>
          </xdr:nvSpPr>
          <xdr:spPr>
            <a:xfrm flipH="1">
              <a:off x="609600" y="794329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nvGrpSpPr>
          <xdr:cNvPr id="111" name="مجموعة_الخطوات">
            <a:extLst>
              <a:ext uri="{FF2B5EF4-FFF2-40B4-BE49-F238E27FC236}">
                <a16:creationId xmlns:a16="http://schemas.microsoft.com/office/drawing/2014/main" id="{F7FEC8A2-A21F-4408-8113-8AAE6773DEF1}"/>
              </a:ext>
            </a:extLst>
          </xdr:cNvPr>
          <xdr:cNvGrpSpPr/>
        </xdr:nvGrpSpPr>
        <xdr:grpSpPr>
          <a:xfrm>
            <a:off x="533400" y="3028390"/>
            <a:ext cx="5306341" cy="596221"/>
            <a:chOff x="609600" y="7943290"/>
            <a:chExt cx="5271914" cy="596221"/>
          </a:xfrm>
        </xdr:grpSpPr>
        <xdr:sp macro="" textlink="">
          <xdr:nvSpPr>
            <xdr:cNvPr id="115" name="نص_ الخطوة" descr="للضرب، حدد الخلية F5، واكتب =C3*C4 ثم اضغط على مفتاح الإدخال Enter.&#10;">
              <a:extLst>
                <a:ext uri="{FF2B5EF4-FFF2-40B4-BE49-F238E27FC236}">
                  <a16:creationId xmlns:a16="http://schemas.microsoft.com/office/drawing/2014/main" id="{A750B84C-D9FA-4307-B87D-B03500BD1295}"/>
                </a:ext>
              </a:extLst>
            </xdr:cNvPr>
            <xdr:cNvSpPr txBox="1"/>
          </xdr:nvSpPr>
          <xdr:spPr>
            <a:xfrm flipH="1">
              <a:off x="1017294" y="7985262"/>
              <a:ext cx="486422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من أجل </a:t>
              </a:r>
              <a:r>
                <a:rPr lang="ar"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الضرب</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حدد الخلية </a:t>
              </a:r>
              <a:r>
                <a:rPr lang="en-US"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F5</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واكتب</a:t>
              </a:r>
              <a:r>
                <a:rPr lang="en-US"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=C3*C4 </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ثم اضغط على مفتاح الإدخال </a:t>
              </a:r>
              <a:r>
                <a:rPr lang="ar"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Enter</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16" name="شكل_الخطوة" descr="4">
              <a:extLst>
                <a:ext uri="{FF2B5EF4-FFF2-40B4-BE49-F238E27FC236}">
                  <a16:creationId xmlns:a16="http://schemas.microsoft.com/office/drawing/2014/main" id="{301F9E0F-B2AD-4808-8E07-2DD27EAA8710}"/>
                </a:ext>
              </a:extLst>
            </xdr:cNvPr>
            <xdr:cNvSpPr/>
          </xdr:nvSpPr>
          <xdr:spPr>
            <a:xfrm flipH="1">
              <a:off x="609600" y="794329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grpSp>
      <xdr:grpSp>
        <xdr:nvGrpSpPr>
          <xdr:cNvPr id="112" name="مجموعة_الخطوات">
            <a:extLst>
              <a:ext uri="{FF2B5EF4-FFF2-40B4-BE49-F238E27FC236}">
                <a16:creationId xmlns:a16="http://schemas.microsoft.com/office/drawing/2014/main" id="{408F37C5-7518-41B6-95C9-BDDF6E7642EF}"/>
              </a:ext>
            </a:extLst>
          </xdr:cNvPr>
          <xdr:cNvGrpSpPr/>
        </xdr:nvGrpSpPr>
        <xdr:grpSpPr>
          <a:xfrm>
            <a:off x="542925" y="3590365"/>
            <a:ext cx="5437824" cy="596221"/>
            <a:chOff x="609600" y="7943290"/>
            <a:chExt cx="5402544" cy="596221"/>
          </a:xfrm>
        </xdr:grpSpPr>
        <xdr:sp macro="" textlink="">
          <xdr:nvSpPr>
            <xdr:cNvPr id="113" name="نص_ الخطوة" descr="للقسمة، حدد الخلية F6، واكتب =C3/C4، ثم اضغط على مفتاح الإدخال Enter.&#10;">
              <a:extLst>
                <a:ext uri="{FF2B5EF4-FFF2-40B4-BE49-F238E27FC236}">
                  <a16:creationId xmlns:a16="http://schemas.microsoft.com/office/drawing/2014/main" id="{9799513C-69A2-449B-AD71-86A24AC167F3}"/>
                </a:ext>
              </a:extLst>
            </xdr:cNvPr>
            <xdr:cNvSpPr txBox="1"/>
          </xdr:nvSpPr>
          <xdr:spPr>
            <a:xfrm flipH="1">
              <a:off x="1017294" y="7985262"/>
              <a:ext cx="499485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من أجل </a:t>
              </a:r>
              <a:r>
                <a:rPr lang="ar"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القسمة</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حدد الخلية </a:t>
              </a:r>
              <a:r>
                <a:rPr lang="en-US"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F6</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اكتب</a:t>
              </a:r>
              <a:r>
                <a:rPr lang="en-US"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=C3/C4 </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ثم اضغط على </a:t>
              </a:r>
              <a:r>
                <a:rPr lang="ar"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مفتاح الإدخال </a:t>
              </a:r>
              <a:r>
                <a:rPr lang="ar" sz="1100" b="1"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Enter</a:t>
              </a:r>
              <a:r>
                <a:rPr lang="ar"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3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14" name="شكل_الخطوة" descr="5">
              <a:extLst>
                <a:ext uri="{FF2B5EF4-FFF2-40B4-BE49-F238E27FC236}">
                  <a16:creationId xmlns:a16="http://schemas.microsoft.com/office/drawing/2014/main" id="{5F788989-D02F-42F0-AAEB-46D2CBCF5550}"/>
                </a:ext>
              </a:extLst>
            </xdr:cNvPr>
            <xdr:cNvSpPr/>
          </xdr:nvSpPr>
          <xdr:spPr>
            <a:xfrm flipH="1">
              <a:off x="609600" y="794329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4</a:t>
              </a:r>
            </a:p>
          </xdr:txBody>
        </xdr:sp>
      </xdr:grpSp>
    </xdr:grpSp>
    <xdr:clientData/>
  </xdr:twoCellAnchor>
  <xdr:twoCellAnchor editAs="absolute">
    <xdr:from>
      <xdr:col>0</xdr:col>
      <xdr:colOff>335731</xdr:colOff>
      <xdr:row>24</xdr:row>
      <xdr:rowOff>0</xdr:rowOff>
    </xdr:from>
    <xdr:to>
      <xdr:col>1</xdr:col>
      <xdr:colOff>5145094</xdr:colOff>
      <xdr:row>55</xdr:row>
      <xdr:rowOff>69642</xdr:rowOff>
    </xdr:to>
    <xdr:sp macro="" textlink="">
      <xdr:nvSpPr>
        <xdr:cNvPr id="128" name="مستطيل 127" descr="الخلفية">
          <a:extLst>
            <a:ext uri="{FF2B5EF4-FFF2-40B4-BE49-F238E27FC236}">
              <a16:creationId xmlns:a16="http://schemas.microsoft.com/office/drawing/2014/main" id="{C6DA8A49-5A77-4AE2-BD39-5BC07FDB559E}"/>
            </a:ext>
          </a:extLst>
        </xdr:cNvPr>
        <xdr:cNvSpPr/>
      </xdr:nvSpPr>
      <xdr:spPr>
        <a:xfrm flipH="1">
          <a:off x="335731" y="5029200"/>
          <a:ext cx="5733288" cy="598149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clientData/>
  </xdr:twoCellAnchor>
  <xdr:twoCellAnchor editAs="absolute">
    <xdr:from>
      <xdr:col>0</xdr:col>
      <xdr:colOff>554806</xdr:colOff>
      <xdr:row>26</xdr:row>
      <xdr:rowOff>15171</xdr:rowOff>
    </xdr:from>
    <xdr:to>
      <xdr:col>1</xdr:col>
      <xdr:colOff>4881926</xdr:colOff>
      <xdr:row>26</xdr:row>
      <xdr:rowOff>15171</xdr:rowOff>
    </xdr:to>
    <xdr:cxnSp macro="">
      <xdr:nvCxnSpPr>
        <xdr:cNvPr id="129" name="موصل مستقيم 128" descr="سطر مزخرف">
          <a:extLst>
            <a:ext uri="{FF2B5EF4-FFF2-40B4-BE49-F238E27FC236}">
              <a16:creationId xmlns:a16="http://schemas.microsoft.com/office/drawing/2014/main" id="{A37B1A9B-7A4A-4AFE-83FF-68ED0AF60BB5}"/>
            </a:ext>
          </a:extLst>
        </xdr:cNvPr>
        <xdr:cNvCxnSpPr>
          <a:cxnSpLocks/>
        </xdr:cNvCxnSpPr>
      </xdr:nvCxnSpPr>
      <xdr:spPr>
        <a:xfrm flipH="1">
          <a:off x="554806" y="556824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51</xdr:row>
      <xdr:rowOff>142514</xdr:rowOff>
    </xdr:from>
    <xdr:to>
      <xdr:col>1</xdr:col>
      <xdr:colOff>4881926</xdr:colOff>
      <xdr:row>51</xdr:row>
      <xdr:rowOff>142514</xdr:rowOff>
    </xdr:to>
    <xdr:cxnSp macro="">
      <xdr:nvCxnSpPr>
        <xdr:cNvPr id="130" name="موصل مستقيم 129" descr="سطر مزخرف">
          <a:extLst>
            <a:ext uri="{FF2B5EF4-FFF2-40B4-BE49-F238E27FC236}">
              <a16:creationId xmlns:a16="http://schemas.microsoft.com/office/drawing/2014/main" id="{54D32FC2-4A3C-44C6-8554-5D7D5A124DFA}"/>
            </a:ext>
          </a:extLst>
        </xdr:cNvPr>
        <xdr:cNvCxnSpPr>
          <a:cxnSpLocks/>
        </xdr:cNvCxnSpPr>
      </xdr:nvCxnSpPr>
      <xdr:spPr>
        <a:xfrm flipH="1">
          <a:off x="554806" y="1035966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24</xdr:row>
      <xdr:rowOff>59892</xdr:rowOff>
    </xdr:from>
    <xdr:to>
      <xdr:col>1</xdr:col>
      <xdr:colOff>4885099</xdr:colOff>
      <xdr:row>25</xdr:row>
      <xdr:rowOff>179952</xdr:rowOff>
    </xdr:to>
    <xdr:sp macro="" textlink="">
      <xdr:nvSpPr>
        <xdr:cNvPr id="131" name="الخطوة" descr="المزيد حول الصيغ والخلايا والنطاقات&#10;">
          <a:extLst>
            <a:ext uri="{FF2B5EF4-FFF2-40B4-BE49-F238E27FC236}">
              <a16:creationId xmlns:a16="http://schemas.microsoft.com/office/drawing/2014/main" id="{357DDA9A-4748-449A-87E8-7D577E6B6F8E}"/>
            </a:ext>
          </a:extLst>
        </xdr:cNvPr>
        <xdr:cNvSpPr txBox="1"/>
      </xdr:nvSpPr>
      <xdr:spPr>
        <a:xfrm flipH="1">
          <a:off x="554806" y="5089092"/>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حول الصيغ والخلايا والنطاقات</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lientData/>
  </xdr:twoCellAnchor>
  <xdr:twoCellAnchor editAs="absolute">
    <xdr:from>
      <xdr:col>0</xdr:col>
      <xdr:colOff>469081</xdr:colOff>
      <xdr:row>26</xdr:row>
      <xdr:rowOff>97564</xdr:rowOff>
    </xdr:from>
    <xdr:to>
      <xdr:col>1</xdr:col>
      <xdr:colOff>4839199</xdr:colOff>
      <xdr:row>29</xdr:row>
      <xdr:rowOff>44450</xdr:rowOff>
    </xdr:to>
    <xdr:sp macro="" textlink="">
      <xdr:nvSpPr>
        <xdr:cNvPr id="132" name="نص_ الخطوة" descr="يتكون Excel من خلايا فردية مجمعة في صفوف وأعمدة. يتم ترقيم الصفوف، ووضع حروف للأعمدة. يوجد 1048576 صف و16384 عمود، يمكنك وضع الصيغ أو الدالات في أي منها.">
          <a:extLst>
            <a:ext uri="{FF2B5EF4-FFF2-40B4-BE49-F238E27FC236}">
              <a16:creationId xmlns:a16="http://schemas.microsoft.com/office/drawing/2014/main" id="{C309FDDD-7DD5-4C0A-A9F5-43E33DAD131C}"/>
            </a:ext>
          </a:extLst>
        </xdr:cNvPr>
        <xdr:cNvSpPr txBox="1"/>
      </xdr:nvSpPr>
      <xdr:spPr>
        <a:xfrm flipH="1">
          <a:off x="469081" y="5656989"/>
          <a:ext cx="5294043" cy="619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يتكون Excel من خلايا فردية مجمعة في صفوف وأعمدة. يتم ترقيم الصفوف، ووضع حروف للأعمدة. يوجد أكثر من مليون صف و16000 عمود يمكنك وضع الصيغ في أي منها.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editAs="absolute">
    <xdr:from>
      <xdr:col>0</xdr:col>
      <xdr:colOff>469081</xdr:colOff>
      <xdr:row>29</xdr:row>
      <xdr:rowOff>1178</xdr:rowOff>
    </xdr:from>
    <xdr:to>
      <xdr:col>1</xdr:col>
      <xdr:colOff>4839199</xdr:colOff>
      <xdr:row>35</xdr:row>
      <xdr:rowOff>171170</xdr:rowOff>
    </xdr:to>
    <xdr:sp macro="" textlink="">
      <xdr:nvSpPr>
        <xdr:cNvPr id="133" name="نص_ الخطوة" descr="Formulas can contain cell references, ranges of cell references, operators, and constants. The following are all examples of formulas:&#10;&#10;=A1+BI&#10;=10*20&#10;=SUM(A1:A10)&#10;&#10;">
          <a:extLst>
            <a:ext uri="{FF2B5EF4-FFF2-40B4-BE49-F238E27FC236}">
              <a16:creationId xmlns:a16="http://schemas.microsoft.com/office/drawing/2014/main" id="{DE5F2A61-4B42-4344-8A7F-D8616CB59479}"/>
            </a:ext>
          </a:extLst>
        </xdr:cNvPr>
        <xdr:cNvSpPr txBox="1"/>
      </xdr:nvSpPr>
      <xdr:spPr>
        <a:xfrm flipH="1">
          <a:off x="11394337901" y="6240053"/>
          <a:ext cx="5332143" cy="125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يمكن أن تحتوي الصيغ على مراجع خلايا، نطاقات من مراجع الخلايا وعوامل التشغيل والثوابت. فيما يلي جميع أمثلة الصيغ:</a:t>
          </a:r>
        </a:p>
        <a:p>
          <a:pPr marL="457200" marR="0" lvl="1" indent="0" algn="r" defTabSz="914400" rtl="1"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a:p>
          <a:pPr marL="457200" marR="0" lvl="1"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=A1+B1</a:t>
          </a:r>
          <a:endPar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a:p>
          <a:pPr marL="457200" marR="0" lvl="1"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=10+20</a:t>
          </a:r>
          <a:endPar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a:p>
          <a:pPr marL="457200" marR="0" lvl="1"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=SUM(A1:A10)</a:t>
          </a:r>
          <a:endPar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editAs="absolute">
    <xdr:from>
      <xdr:col>0</xdr:col>
      <xdr:colOff>469081</xdr:colOff>
      <xdr:row>36</xdr:row>
      <xdr:rowOff>17615</xdr:rowOff>
    </xdr:from>
    <xdr:to>
      <xdr:col>1</xdr:col>
      <xdr:colOff>4974406</xdr:colOff>
      <xdr:row>42</xdr:row>
      <xdr:rowOff>136525</xdr:rowOff>
    </xdr:to>
    <xdr:sp macro="" textlink="">
      <xdr:nvSpPr>
        <xdr:cNvPr id="134" name="نص_ الخطوة" descr="فستلاحظ أن في المثال الثالث الوارد أعلاه، استخدمنا الدالة SUM. الدالة هي أمر معد مسبقاً يأخذ قيمة أو قيم ويحسبها بطريقة معينة ويرجع نتيجة. على سبيل المثال، تأخذ الدالة SUM مراجع الخلايا أو النطاقات التي قمت بتحديدها، وتحسب الإجمالي الخاص بها. في هذا المثال، أخذ الخلايا من A1 إلى A10 وقام بحساب الإجمالي الخاص بها. يتضمن Excel أكثر من 400 دالة، يمكنك استكشافها ضمن علامة التبويب صيغ.&#10;">
          <a:extLst>
            <a:ext uri="{FF2B5EF4-FFF2-40B4-BE49-F238E27FC236}">
              <a16:creationId xmlns:a16="http://schemas.microsoft.com/office/drawing/2014/main" id="{73D9B0E0-3581-491E-A150-07F5BAA0F86D}"/>
            </a:ext>
          </a:extLst>
        </xdr:cNvPr>
        <xdr:cNvSpPr txBox="1"/>
      </xdr:nvSpPr>
      <xdr:spPr>
        <a:xfrm flipH="1">
          <a:off x="469081" y="7520140"/>
          <a:ext cx="5429250" cy="1204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ستلاحظ أن في المثال الثالث الوارد أعلاه، استخدمنا الدالة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SUM</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الدالة هي أمر معد مسبقاً يأخذ قيمة أو قيم ويحسبها بطريقة معينة ويرجع نتيجة. على سبيل المثال، تأخذ الدالة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SUM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مراجع الخلايا أو النطاقات التي قمت بتحديدها، وتحسب الإجمالي الخاص بها. في هذا المثال تأخذ الخلايا من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A1</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إلى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A10</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وتنتج الإجمالي الخاص بها. يتضمن Excel أكثر من 400 دالة، التي يمكنك استكشافها ضمن علامة التبويب </a:t>
          </a:r>
          <a:r>
            <a:rPr lang="ar-SA"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الصيغ</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editAs="absolute">
    <xdr:from>
      <xdr:col>0</xdr:col>
      <xdr:colOff>469081</xdr:colOff>
      <xdr:row>42</xdr:row>
      <xdr:rowOff>5234</xdr:rowOff>
    </xdr:from>
    <xdr:to>
      <xdr:col>1</xdr:col>
      <xdr:colOff>4945831</xdr:colOff>
      <xdr:row>44</xdr:row>
      <xdr:rowOff>160245</xdr:rowOff>
    </xdr:to>
    <xdr:sp macro="" textlink="">
      <xdr:nvSpPr>
        <xdr:cNvPr id="135" name="نص_ الخطوة" descr="الصيغ التي تحتوي على دالات تبدأ بعلامة يساوي، ثم يتبع اسم الدالة بالوسيطات الخاصة بها (قيم تستخدمها الدالة للحساب) يتم التفافها بين أقواس. &#10;&#10;">
          <a:extLst>
            <a:ext uri="{FF2B5EF4-FFF2-40B4-BE49-F238E27FC236}">
              <a16:creationId xmlns:a16="http://schemas.microsoft.com/office/drawing/2014/main" id="{066FFF9C-96C0-4C5A-AFA6-27C4951F9C44}"/>
            </a:ext>
          </a:extLst>
        </xdr:cNvPr>
        <xdr:cNvSpPr txBox="1"/>
      </xdr:nvSpPr>
      <xdr:spPr>
        <a:xfrm flipH="1">
          <a:off x="11394231269" y="8596784"/>
          <a:ext cx="5438775" cy="516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الصيغ التي تحتوي على دالات تبدأ بعلامة يساوي، ثم يتبع اسم الدالة بالوسيطات الخاصة بها (قيم تستخدمها الدالة للحساب) يتم التفافها بين أقواس.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editAs="absolute">
    <xdr:from>
      <xdr:col>0</xdr:col>
      <xdr:colOff>469081</xdr:colOff>
      <xdr:row>44</xdr:row>
      <xdr:rowOff>144210</xdr:rowOff>
    </xdr:from>
    <xdr:to>
      <xdr:col>1</xdr:col>
      <xdr:colOff>4955356</xdr:colOff>
      <xdr:row>50</xdr:row>
      <xdr:rowOff>109687</xdr:rowOff>
    </xdr:to>
    <xdr:sp macro="" textlink="">
      <xdr:nvSpPr>
        <xdr:cNvPr id="136" name="نص_ الخطوة" descr="يمكنك التأكيد على الصيغة من خلال الضغط على الزر Enter. بمجرد إجراء ذلك ستقوم الصيغة بالحساب، وسيتم عرض النتيجة في الخلية. للاطلاع على الصيغة نفسها، يمكنك إلقاء نظرة على شريط الصيغة أسفل الشريط، أو اضغط على F2 لدخول وضع التحرير، حيث يمكنك رؤية الصيغة في الخلية. اضغط على الزر Enter مرة أخرى لإنهاء الصيغة وحساب النتيجة.&#10;">
          <a:extLst>
            <a:ext uri="{FF2B5EF4-FFF2-40B4-BE49-F238E27FC236}">
              <a16:creationId xmlns:a16="http://schemas.microsoft.com/office/drawing/2014/main" id="{5586BF07-B001-4F35-B7E4-70A08A528E83}"/>
            </a:ext>
          </a:extLst>
        </xdr:cNvPr>
        <xdr:cNvSpPr txBox="1"/>
      </xdr:nvSpPr>
      <xdr:spPr>
        <a:xfrm flipH="1">
          <a:off x="11394221744" y="9097710"/>
          <a:ext cx="5448300" cy="1051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يمكنك تأكيد صيغة عن طريق الضغط على مفتاح الإدخال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Enter</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بمجرد إجراء ذلك ستقوم الصيغة بالحساب، وسيتم عرض النتيجة في الخلية. للاطلاع على الصيغة نفسها، يمكنك إلقاء نظرة على شريط الصيغة أسفل الشريط، أو اضغط على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F2</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لدخول وضع التحرير، حيث يمكنك رؤية الصيغة في الخلية. اضغط على مفتاح الإدخال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Enter</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مرة أخرى لإضفاء اللمسات الأخيرة على الصيغة وحساب النتيجة.</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editAs="absolute">
    <xdr:from>
      <xdr:col>0</xdr:col>
      <xdr:colOff>488676</xdr:colOff>
      <xdr:row>52</xdr:row>
      <xdr:rowOff>101112</xdr:rowOff>
    </xdr:from>
    <xdr:to>
      <xdr:col>1</xdr:col>
      <xdr:colOff>829851</xdr:colOff>
      <xdr:row>54</xdr:row>
      <xdr:rowOff>68261</xdr:rowOff>
    </xdr:to>
    <xdr:sp macro="" textlink="">
      <xdr:nvSpPr>
        <xdr:cNvPr id="137" name="الزر_السابق" descr="الرجوع إلى الورقة السابقة">
          <a:hlinkClick xmlns:r="http://schemas.openxmlformats.org/officeDocument/2006/relationships" r:id="rId3" tooltip="انقر هنا للعودة إلى الورقة السابقة"/>
          <a:extLst>
            <a:ext uri="{FF2B5EF4-FFF2-40B4-BE49-F238E27FC236}">
              <a16:creationId xmlns:a16="http://schemas.microsoft.com/office/drawing/2014/main" id="{BEFD400E-6244-40BE-8D92-330023967DDC}"/>
            </a:ext>
          </a:extLst>
        </xdr:cNvPr>
        <xdr:cNvSpPr/>
      </xdr:nvSpPr>
      <xdr:spPr>
        <a:xfrm>
          <a:off x="11398347249" y="10502412"/>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clientData fPrintsWithSheet="0"/>
  </xdr:twoCellAnchor>
  <xdr:twoCellAnchor editAs="absolute">
    <xdr:from>
      <xdr:col>1</xdr:col>
      <xdr:colOff>3487512</xdr:colOff>
      <xdr:row>52</xdr:row>
      <xdr:rowOff>101112</xdr:rowOff>
    </xdr:from>
    <xdr:to>
      <xdr:col>1</xdr:col>
      <xdr:colOff>4790712</xdr:colOff>
      <xdr:row>54</xdr:row>
      <xdr:rowOff>68261</xdr:rowOff>
    </xdr:to>
    <xdr:sp macro="" textlink="">
      <xdr:nvSpPr>
        <xdr:cNvPr id="138" name="الزر_التالي" descr="التقدم إلى الورقة التالية">
          <a:hlinkClick xmlns:r="http://schemas.openxmlformats.org/officeDocument/2006/relationships" r:id="rId2" tooltip="انقر هنا للتقدم إلى الورقة التالية"/>
          <a:extLst>
            <a:ext uri="{FF2B5EF4-FFF2-40B4-BE49-F238E27FC236}">
              <a16:creationId xmlns:a16="http://schemas.microsoft.com/office/drawing/2014/main" id="{DD56E08A-C3A9-475A-87AB-52A78D988C6C}"/>
            </a:ext>
          </a:extLst>
        </xdr:cNvPr>
        <xdr:cNvSpPr/>
      </xdr:nvSpPr>
      <xdr:spPr>
        <a:xfrm flipH="1">
          <a:off x="11394386388" y="10502412"/>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fPrintsWithSheet="0"/>
  </xdr:twoCellAnchor>
  <xdr:twoCellAnchor editAs="absolute">
    <xdr:from>
      <xdr:col>5</xdr:col>
      <xdr:colOff>440505</xdr:colOff>
      <xdr:row>6</xdr:row>
      <xdr:rowOff>161924</xdr:rowOff>
    </xdr:from>
    <xdr:to>
      <xdr:col>7</xdr:col>
      <xdr:colOff>634179</xdr:colOff>
      <xdr:row>13</xdr:row>
      <xdr:rowOff>28574</xdr:rowOff>
    </xdr:to>
    <xdr:grpSp>
      <xdr:nvGrpSpPr>
        <xdr:cNvPr id="139" name="معلومة إضافية" descr="نقاط إضافية&#10;&#10;">
          <a:extLst>
            <a:ext uri="{FF2B5EF4-FFF2-40B4-BE49-F238E27FC236}">
              <a16:creationId xmlns:a16="http://schemas.microsoft.com/office/drawing/2014/main" id="{34B095E6-B82C-4533-81A2-82946450BAFD}"/>
            </a:ext>
          </a:extLst>
        </xdr:cNvPr>
        <xdr:cNvGrpSpPr/>
      </xdr:nvGrpSpPr>
      <xdr:grpSpPr>
        <a:xfrm flipH="1">
          <a:off x="11386703346" y="1895474"/>
          <a:ext cx="2393949" cy="1162050"/>
          <a:chOff x="9048750" y="3743325"/>
          <a:chExt cx="2263181" cy="1153413"/>
        </a:xfrm>
      </xdr:grpSpPr>
      <xdr:sp macro="" textlink="">
        <xdr:nvSpPr>
          <xdr:cNvPr id="140" name="الخطوة" descr="EXTRA CREDIT&#10;You can raise a value to a power by using the carat (^) symbol, like =A1^A2. Enter it with Shift+6.&#10;">
            <a:extLst>
              <a:ext uri="{FF2B5EF4-FFF2-40B4-BE49-F238E27FC236}">
                <a16:creationId xmlns:a16="http://schemas.microsoft.com/office/drawing/2014/main" id="{675C53E6-D7B5-493F-A9ED-94DE7985453E}"/>
              </a:ext>
            </a:extLst>
          </xdr:cNvPr>
          <xdr:cNvSpPr txBox="1"/>
        </xdr:nvSpPr>
        <xdr:spPr>
          <a:xfrm flipH="1">
            <a:off x="9648643" y="3895724"/>
            <a:ext cx="1663288" cy="100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معلومة إضافية</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يمكنك رفع قيمة إلى أس باستخدام الرمز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مثل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=C3^C4</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قم بإدخاله باستخدام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Shift</a:t>
            </a:r>
            <a:r>
              <a:rPr lang="en-US"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+6</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a:t>
            </a:r>
          </a:p>
        </xdr:txBody>
      </xdr:sp>
      <xdr:pic>
        <xdr:nvPicPr>
          <xdr:cNvPr id="141" name="شريط معلومة إضافية" descr="شريط مزخرف">
            <a:extLst>
              <a:ext uri="{FF2B5EF4-FFF2-40B4-BE49-F238E27FC236}">
                <a16:creationId xmlns:a16="http://schemas.microsoft.com/office/drawing/2014/main" id="{8CCDA131-B8EE-49BF-B978-9C80B0D5FA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flipH="1">
            <a:off x="9287099" y="3950551"/>
            <a:ext cx="474289" cy="439736"/>
          </a:xfrm>
          <a:prstGeom prst="rect">
            <a:avLst/>
          </a:prstGeom>
        </xdr:spPr>
      </xdr:pic>
      <xdr:sp macro="" textlink="">
        <xdr:nvSpPr>
          <xdr:cNvPr id="142" name="سهم نقاط إضافية" descr="سهم">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1" anchor="t"/>
          <a:lstStyle/>
          <a:p>
            <a:pPr algn="l" rtl="1"/>
            <a:endParaRPr lang="en-US" sz="1100"/>
          </a:p>
        </xdr:txBody>
      </xdr:sp>
    </xdr:grpSp>
    <xdr:clientData/>
  </xdr:twoCellAnchor>
  <xdr:twoCellAnchor editAs="absolute">
    <xdr:from>
      <xdr:col>0</xdr:col>
      <xdr:colOff>333375</xdr:colOff>
      <xdr:row>56</xdr:row>
      <xdr:rowOff>41274</xdr:rowOff>
    </xdr:from>
    <xdr:to>
      <xdr:col>1</xdr:col>
      <xdr:colOff>5142738</xdr:colOff>
      <xdr:row>71</xdr:row>
      <xdr:rowOff>104774</xdr:rowOff>
    </xdr:to>
    <xdr:grpSp>
      <xdr:nvGrpSpPr>
        <xdr:cNvPr id="143" name="مجموعة 142">
          <a:extLst>
            <a:ext uri="{FF2B5EF4-FFF2-40B4-BE49-F238E27FC236}">
              <a16:creationId xmlns:a16="http://schemas.microsoft.com/office/drawing/2014/main" id="{79AC946A-932E-4F38-8B0A-9F23F83F1E52}"/>
            </a:ext>
          </a:extLst>
        </xdr:cNvPr>
        <xdr:cNvGrpSpPr/>
      </xdr:nvGrpSpPr>
      <xdr:grpSpPr>
        <a:xfrm flipH="1">
          <a:off x="11394034362" y="11166474"/>
          <a:ext cx="5771388" cy="2778125"/>
          <a:chOff x="350069" y="11620499"/>
          <a:chExt cx="5733288" cy="2771775"/>
        </a:xfrm>
      </xdr:grpSpPr>
      <xdr:sp macro="" textlink="">
        <xdr:nvSpPr>
          <xdr:cNvPr id="144" name="مستطيل 143">
            <a:extLst>
              <a:ext uri="{FF2B5EF4-FFF2-40B4-BE49-F238E27FC236}">
                <a16:creationId xmlns:a16="http://schemas.microsoft.com/office/drawing/2014/main" id="{03611DF3-2DDC-4C9F-9BD2-1914CDC70236}"/>
              </a:ext>
            </a:extLst>
          </xdr:cNvPr>
          <xdr:cNvSpPr/>
        </xdr:nvSpPr>
        <xdr:spPr>
          <a:xfrm flipH="1">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145" name="الخطوة" descr="المزيد من المعلومات على الويب&#10;">
            <a:extLst>
              <a:ext uri="{FF2B5EF4-FFF2-40B4-BE49-F238E27FC236}">
                <a16:creationId xmlns:a16="http://schemas.microsoft.com/office/drawing/2014/main" id="{688CB3AD-6B8F-4152-822F-68C8F1EEED97}"/>
              </a:ext>
            </a:extLst>
          </xdr:cNvPr>
          <xdr:cNvSpPr txBox="1"/>
        </xdr:nvSpPr>
        <xdr:spPr>
          <a:xfrm flipH="1">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146" name="موصل مستقيم 145" descr="سطر مزخرف">
            <a:extLst>
              <a:ext uri="{FF2B5EF4-FFF2-40B4-BE49-F238E27FC236}">
                <a16:creationId xmlns:a16="http://schemas.microsoft.com/office/drawing/2014/main" id="{78299991-CCE6-4F28-81F0-C743EF2F129C}"/>
              </a:ext>
            </a:extLst>
          </xdr:cNvPr>
          <xdr:cNvCxnSpPr>
            <a:cxnSpLocks/>
          </xdr:cNvCxnSpPr>
        </xdr:nvCxnSpPr>
        <xdr:spPr>
          <a:xfrm flipH="1">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موصل مستقيم 146" descr="سطر مزخرف">
            <a:extLst>
              <a:ext uri="{FF2B5EF4-FFF2-40B4-BE49-F238E27FC236}">
                <a16:creationId xmlns:a16="http://schemas.microsoft.com/office/drawing/2014/main" id="{C7CE393B-0A40-460B-ADC7-32213AED6195}"/>
              </a:ext>
            </a:extLst>
          </xdr:cNvPr>
          <xdr:cNvCxnSpPr>
            <a:cxnSpLocks/>
          </xdr:cNvCxnSpPr>
        </xdr:nvCxnSpPr>
        <xdr:spPr>
          <a:xfrm flipH="1">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59</xdr:row>
      <xdr:rowOff>97020</xdr:rowOff>
    </xdr:from>
    <xdr:to>
      <xdr:col>1</xdr:col>
      <xdr:colOff>2401323</xdr:colOff>
      <xdr:row>61</xdr:row>
      <xdr:rowOff>112843</xdr:rowOff>
    </xdr:to>
    <xdr:grpSp>
      <xdr:nvGrpSpPr>
        <xdr:cNvPr id="148" name="المجموعة 147">
          <a:extLst>
            <a:ext uri="{FF2B5EF4-FFF2-40B4-BE49-F238E27FC236}">
              <a16:creationId xmlns:a16="http://schemas.microsoft.com/office/drawing/2014/main" id="{CA7B2371-3B06-4B9B-9469-235F43CE38D0}"/>
            </a:ext>
          </a:extLst>
        </xdr:cNvPr>
        <xdr:cNvGrpSpPr/>
      </xdr:nvGrpSpPr>
      <xdr:grpSpPr>
        <a:xfrm flipH="1">
          <a:off x="11396775777" y="11765145"/>
          <a:ext cx="2808022" cy="377773"/>
          <a:chOff x="552970" y="11990570"/>
          <a:chExt cx="2769922" cy="377773"/>
        </a:xfrm>
      </xdr:grpSpPr>
      <xdr:sp macro="" textlink="">
        <xdr:nvSpPr>
          <xdr:cNvPr id="149" name="الخطوة" descr="جميع المعلومات حول الدالة AVERAGE، مرتبط ارتباطاً تشعبياً إلى الويب&#10;&#10;">
            <a:hlinkClick xmlns:r="http://schemas.openxmlformats.org/officeDocument/2006/relationships" r:id="rId6" tooltip="حدد للتعرف على جميع المعلومات حول استخدام Excel كحاسبة من الويب"/>
            <a:extLst>
              <a:ext uri="{FF2B5EF4-FFF2-40B4-BE49-F238E27FC236}">
                <a16:creationId xmlns:a16="http://schemas.microsoft.com/office/drawing/2014/main" id="{94DAAE3B-3571-4AC2-BCCC-AD998F75E3DC}"/>
              </a:ext>
            </a:extLst>
          </xdr:cNvPr>
          <xdr:cNvSpPr txBox="1"/>
        </xdr:nvSpPr>
        <xdr:spPr>
          <a:xfrm flipH="1">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استخدام Excel كحاسبة</a:t>
            </a:r>
          </a:p>
        </xdr:txBody>
      </xdr:sp>
      <xdr:pic>
        <xdr:nvPicPr>
          <xdr:cNvPr id="150" name="الرسم 22" descr="حدد للتعرّف على المزيد من الويب">
            <a:hlinkClick xmlns:r="http://schemas.openxmlformats.org/officeDocument/2006/relationships" r:id="rId6" tooltip="حدد للتعرّف على المزيد من الويب"/>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61</xdr:row>
      <xdr:rowOff>121100</xdr:rowOff>
    </xdr:from>
    <xdr:to>
      <xdr:col>1</xdr:col>
      <xdr:colOff>2428935</xdr:colOff>
      <xdr:row>63</xdr:row>
      <xdr:rowOff>142510</xdr:rowOff>
    </xdr:to>
    <xdr:grpSp>
      <xdr:nvGrpSpPr>
        <xdr:cNvPr id="151" name="مجموعة 150" descr="نظرة عامة حول الصيغ في Excel">
          <a:extLst>
            <a:ext uri="{FF2B5EF4-FFF2-40B4-BE49-F238E27FC236}">
              <a16:creationId xmlns:a16="http://schemas.microsoft.com/office/drawing/2014/main" id="{DBBBF993-8DF8-4B72-8129-E3AA07A81756}"/>
            </a:ext>
          </a:extLst>
        </xdr:cNvPr>
        <xdr:cNvGrpSpPr/>
      </xdr:nvGrpSpPr>
      <xdr:grpSpPr>
        <a:xfrm flipH="1">
          <a:off x="11396748165" y="12151175"/>
          <a:ext cx="2835634" cy="383360"/>
          <a:chOff x="552970" y="12376600"/>
          <a:chExt cx="2797534" cy="383360"/>
        </a:xfrm>
      </xdr:grpSpPr>
      <xdr:sp macro="" textlink="">
        <xdr:nvSpPr>
          <xdr:cNvPr id="152" name="الخطوة" descr="جميع المعلومات حول الدالة COUNT، مرتبط ارتباطاً تشعبياً إلى الويب&#10;">
            <a:hlinkClick xmlns:r="http://schemas.openxmlformats.org/officeDocument/2006/relationships" r:id="rId9" tooltip="حدد للتعرف على جميع المعلومات حول صيغ Excel من الويب"/>
            <a:extLst>
              <a:ext uri="{FF2B5EF4-FFF2-40B4-BE49-F238E27FC236}">
                <a16:creationId xmlns:a16="http://schemas.microsoft.com/office/drawing/2014/main" id="{68253150-FDCC-4078-B423-C873DCBF4AD9}"/>
              </a:ext>
            </a:extLst>
          </xdr:cNvPr>
          <xdr:cNvSpPr txBox="1"/>
        </xdr:nvSpPr>
        <xdr:spPr>
          <a:xfrm flipH="1">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نظرة عامة حول الصيغ في Excel</a:t>
            </a:r>
          </a:p>
        </xdr:txBody>
      </xdr:sp>
      <xdr:pic>
        <xdr:nvPicPr>
          <xdr:cNvPr id="153" name="الرسم 22" descr="حدد للتعرّف على المزيد من الويب">
            <a:hlinkClick xmlns:r="http://schemas.openxmlformats.org/officeDocument/2006/relationships" r:id="rId9" tooltip="حدد للتعرّف على المزيد من الويب"/>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63</xdr:row>
      <xdr:rowOff>165298</xdr:rowOff>
    </xdr:from>
    <xdr:to>
      <xdr:col>1</xdr:col>
      <xdr:colOff>2335980</xdr:colOff>
      <xdr:row>66</xdr:row>
      <xdr:rowOff>146</xdr:rowOff>
    </xdr:to>
    <xdr:grpSp>
      <xdr:nvGrpSpPr>
        <xdr:cNvPr id="154" name="المجموعة 153">
          <a:extLst>
            <a:ext uri="{FF2B5EF4-FFF2-40B4-BE49-F238E27FC236}">
              <a16:creationId xmlns:a16="http://schemas.microsoft.com/office/drawing/2014/main" id="{97003A87-44BF-4E57-A760-19DF355C2169}"/>
            </a:ext>
          </a:extLst>
        </xdr:cNvPr>
        <xdr:cNvGrpSpPr/>
      </xdr:nvGrpSpPr>
      <xdr:grpSpPr>
        <a:xfrm flipH="1">
          <a:off x="11396841120" y="12557323"/>
          <a:ext cx="2742679" cy="377773"/>
          <a:chOff x="552970" y="12776398"/>
          <a:chExt cx="2704579" cy="377773"/>
        </a:xfrm>
      </xdr:grpSpPr>
      <xdr:sp macro="" textlink="">
        <xdr:nvSpPr>
          <xdr:cNvPr id="155" name="الخطوة" descr="استخدام Excel كحاسبتك الشخصية، مرتبط ارتباطاً تشعبياً إلى الويب&#10;">
            <a:hlinkClick xmlns:r="http://schemas.openxmlformats.org/officeDocument/2006/relationships" r:id="rId10" tooltip="حدد للتعرف على جميع المعلومات حول دالات Excel حسب الفئة من الويب"/>
            <a:extLst>
              <a:ext uri="{FF2B5EF4-FFF2-40B4-BE49-F238E27FC236}">
                <a16:creationId xmlns:a16="http://schemas.microsoft.com/office/drawing/2014/main" id="{1B8A91B8-3AD1-4CBF-A83F-989016E1EFCA}"/>
              </a:ext>
            </a:extLst>
          </xdr:cNvPr>
          <xdr:cNvSpPr txBox="1"/>
        </xdr:nvSpPr>
        <xdr:spPr>
          <a:xfrm flipH="1">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دالات Excel (حسب الفئة) </a:t>
            </a:r>
          </a:p>
        </xdr:txBody>
      </xdr:sp>
      <xdr:pic>
        <xdr:nvPicPr>
          <xdr:cNvPr id="156" name="رسم 155" descr="حدد للتعرّف على المزيد من الويب">
            <a:hlinkClick xmlns:r="http://schemas.openxmlformats.org/officeDocument/2006/relationships" r:id="rId10" tooltip="حدد للتعرّف على المزيد من الويب"/>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66</xdr:row>
      <xdr:rowOff>15232</xdr:rowOff>
    </xdr:from>
    <xdr:to>
      <xdr:col>1</xdr:col>
      <xdr:colOff>2593155</xdr:colOff>
      <xdr:row>68</xdr:row>
      <xdr:rowOff>36642</xdr:rowOff>
    </xdr:to>
    <xdr:grpSp>
      <xdr:nvGrpSpPr>
        <xdr:cNvPr id="157" name="المجموعة 156">
          <a:extLst>
            <a:ext uri="{FF2B5EF4-FFF2-40B4-BE49-F238E27FC236}">
              <a16:creationId xmlns:a16="http://schemas.microsoft.com/office/drawing/2014/main" id="{71257630-43F1-4787-B9D3-FAD6BF048228}"/>
            </a:ext>
          </a:extLst>
        </xdr:cNvPr>
        <xdr:cNvGrpSpPr/>
      </xdr:nvGrpSpPr>
      <xdr:grpSpPr>
        <a:xfrm flipH="1">
          <a:off x="11396583945" y="12950182"/>
          <a:ext cx="2987671" cy="383360"/>
          <a:chOff x="565153" y="13169257"/>
          <a:chExt cx="2949571" cy="383360"/>
        </a:xfrm>
      </xdr:grpSpPr>
      <xdr:sp macro="" textlink="">
        <xdr:nvSpPr>
          <xdr:cNvPr id="158" name="الخطوة" descr="التدريب المجاني على Excel عبر الإنترنت، مرتبط ارتباطاً تشعبياً إلى الويب&#10;">
            <a:hlinkClick xmlns:r="http://schemas.openxmlformats.org/officeDocument/2006/relationships" r:id="rId11" tooltip="حدد للتعرف على جميع المعلومات حول دالات Excel (بالترتيب الأبجدي) من الويب"/>
            <a:extLst>
              <a:ext uri="{FF2B5EF4-FFF2-40B4-BE49-F238E27FC236}">
                <a16:creationId xmlns:a16="http://schemas.microsoft.com/office/drawing/2014/main" id="{A1D2C3A9-E7A3-44B5-93E4-99B051F60D72}"/>
              </a:ext>
            </a:extLst>
          </xdr:cNvPr>
          <xdr:cNvSpPr txBox="1"/>
        </xdr:nvSpPr>
        <xdr:spPr>
          <a:xfrm flipH="1">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دالات Excel (بالترتيب الأبجدي) </a:t>
            </a:r>
          </a:p>
        </xdr:txBody>
      </xdr:sp>
      <xdr:pic>
        <xdr:nvPicPr>
          <xdr:cNvPr id="159" name="الرسم 22" descr="حدد للتعرّف على المزيد من الويب">
            <a:hlinkClick xmlns:r="http://schemas.openxmlformats.org/officeDocument/2006/relationships" r:id="rId11" tooltip="حدد للتعرّف على المزيد من الويب"/>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68</xdr:row>
      <xdr:rowOff>34282</xdr:rowOff>
    </xdr:from>
    <xdr:to>
      <xdr:col>1</xdr:col>
      <xdr:colOff>2695575</xdr:colOff>
      <xdr:row>70</xdr:row>
      <xdr:rowOff>55692</xdr:rowOff>
    </xdr:to>
    <xdr:grpSp>
      <xdr:nvGrpSpPr>
        <xdr:cNvPr id="160" name="مجموعة 159">
          <a:extLst>
            <a:ext uri="{FF2B5EF4-FFF2-40B4-BE49-F238E27FC236}">
              <a16:creationId xmlns:a16="http://schemas.microsoft.com/office/drawing/2014/main" id="{32835AA2-E6D6-41DC-B4E4-AF07FAC19150}"/>
            </a:ext>
          </a:extLst>
        </xdr:cNvPr>
        <xdr:cNvGrpSpPr/>
      </xdr:nvGrpSpPr>
      <xdr:grpSpPr>
        <a:xfrm flipH="1">
          <a:off x="11396481525" y="13331182"/>
          <a:ext cx="3080566" cy="383360"/>
          <a:chOff x="574678" y="13550257"/>
          <a:chExt cx="3032810" cy="383360"/>
        </a:xfrm>
      </xdr:grpSpPr>
      <xdr:sp macro="" textlink="">
        <xdr:nvSpPr>
          <xdr:cNvPr id="161" name="الخطوة" descr="التدريب المجاني على Excel عبر الإنترنت، مرتبط ارتباطاً تشعبياً إلى الويب&#10;">
            <a:hlinkClick xmlns:r="http://schemas.openxmlformats.org/officeDocument/2006/relationships" r:id="rId12" tooltip="حدد للتعرف على تدريب Excel المجاني عبر الإنترنت من الويب"/>
            <a:extLst>
              <a:ext uri="{FF2B5EF4-FFF2-40B4-BE49-F238E27FC236}">
                <a16:creationId xmlns:a16="http://schemas.microsoft.com/office/drawing/2014/main" id="{BBD9D617-8BE8-4A77-A4A7-46711DF153C7}"/>
              </a:ext>
            </a:extLst>
          </xdr:cNvPr>
          <xdr:cNvSpPr txBox="1"/>
        </xdr:nvSpPr>
        <xdr:spPr>
          <a:xfrm flipH="1">
            <a:off x="1024175" y="13634084"/>
            <a:ext cx="2583313"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162" name="الرسم 22" descr="حدد للتعرّف على المزيد من الويب">
            <a:hlinkClick xmlns:r="http://schemas.openxmlformats.org/officeDocument/2006/relationships" r:id="rId12" tooltip="حدد للتعرّف على المزيد من الويب"/>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6277200</xdr:colOff>
      <xdr:row>4</xdr:row>
      <xdr:rowOff>27402</xdr:rowOff>
    </xdr:from>
    <xdr:to>
      <xdr:col>4</xdr:col>
      <xdr:colOff>887433</xdr:colOff>
      <xdr:row>15</xdr:row>
      <xdr:rowOff>9534</xdr:rowOff>
    </xdr:to>
    <xdr:grpSp>
      <xdr:nvGrpSpPr>
        <xdr:cNvPr id="163" name="المجموعة 162">
          <a:extLst>
            <a:ext uri="{FF2B5EF4-FFF2-40B4-BE49-F238E27FC236}">
              <a16:creationId xmlns:a16="http://schemas.microsoft.com/office/drawing/2014/main" id="{C2C01485-52DA-46D7-91BA-2CB22C9C592D}"/>
            </a:ext>
          </a:extLst>
        </xdr:cNvPr>
        <xdr:cNvGrpSpPr/>
      </xdr:nvGrpSpPr>
      <xdr:grpSpPr>
        <a:xfrm flipH="1">
          <a:off x="11390012442" y="1379952"/>
          <a:ext cx="2887458" cy="2020482"/>
          <a:chOff x="7240805" y="1181877"/>
          <a:chExt cx="2530812" cy="1985285"/>
        </a:xfrm>
      </xdr:grpSpPr>
      <xdr:grpSp>
        <xdr:nvGrpSpPr>
          <xdr:cNvPr id="164" name="أسطر قوس">
            <a:extLst>
              <a:ext uri="{FF2B5EF4-FFF2-40B4-BE49-F238E27FC236}">
                <a16:creationId xmlns:a16="http://schemas.microsoft.com/office/drawing/2014/main" id="{C6C732D8-8C93-4CFB-BAD8-7EB1D0E191AF}"/>
              </a:ext>
            </a:extLst>
          </xdr:cNvPr>
          <xdr:cNvGrpSpPr/>
        </xdr:nvGrpSpPr>
        <xdr:grpSpPr>
          <a:xfrm rot="5886532">
            <a:off x="7715659" y="707023"/>
            <a:ext cx="607366" cy="1557073"/>
            <a:chOff x="9718403" y="-54732"/>
            <a:chExt cx="294810" cy="1324550"/>
          </a:xfrm>
        </xdr:grpSpPr>
        <xdr:sp macro="" textlink="">
          <xdr:nvSpPr>
            <xdr:cNvPr id="167" name="سطر قوس آخر" descr="سطر قوس">
              <a:extLst>
                <a:ext uri="{FF2B5EF4-FFF2-40B4-BE49-F238E27FC236}">
                  <a16:creationId xmlns:a16="http://schemas.microsoft.com/office/drawing/2014/main" id="{CE60D9BE-1267-484B-8547-1136C10EC14C}"/>
                </a:ext>
              </a:extLst>
            </xdr:cNvPr>
            <xdr:cNvSpPr/>
          </xdr:nvSpPr>
          <xdr:spPr>
            <a:xfrm>
              <a:off x="9718403" y="-54732"/>
              <a:ext cx="273326" cy="42353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sp macro="" textlink="">
          <xdr:nvSpPr>
            <xdr:cNvPr id="168" name="سطر قوس" descr="سطر قوس&#10;">
              <a:extLst>
                <a:ext uri="{FF2B5EF4-FFF2-40B4-BE49-F238E27FC236}">
                  <a16:creationId xmlns:a16="http://schemas.microsoft.com/office/drawing/2014/main" id="{5B02AF09-F448-47F0-A846-E12FFA754450}"/>
                </a:ext>
              </a:extLst>
            </xdr:cNvPr>
            <xdr:cNvSpPr/>
          </xdr:nvSpPr>
          <xdr:spPr>
            <a:xfrm>
              <a:off x="9852318" y="334687"/>
              <a:ext cx="160895" cy="935131"/>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grpSp>
      <xdr:pic>
        <xdr:nvPicPr>
          <xdr:cNvPr id="165" name="النجوم" descr="النجوم">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H="1">
            <a:off x="7420095" y="1993317"/>
            <a:ext cx="323250" cy="337815"/>
          </a:xfrm>
          <a:prstGeom prst="rect">
            <a:avLst/>
          </a:prstGeom>
        </xdr:spPr>
      </xdr:pic>
      <xdr:sp macro="" textlink="">
        <xdr:nvSpPr>
          <xdr:cNvPr id="166" name="الإرشادات" descr="CHECK THIS OUT&#10;Change the numbers here, and watch the formula results automatically change.&#10;">
            <a:extLst>
              <a:ext uri="{FF2B5EF4-FFF2-40B4-BE49-F238E27FC236}">
                <a16:creationId xmlns:a16="http://schemas.microsoft.com/office/drawing/2014/main" id="{50555AA4-008E-4DD4-89F8-AF46A3D1D5A7}"/>
              </a:ext>
            </a:extLst>
          </xdr:cNvPr>
          <xdr:cNvSpPr txBox="1"/>
        </xdr:nvSpPr>
        <xdr:spPr>
          <a:xfrm flipH="1">
            <a:off x="7802505" y="1893683"/>
            <a:ext cx="1969112" cy="1273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اطلع على ذلك</a:t>
            </a:r>
          </a:p>
          <a:p>
            <a:pPr algn="r" rtl="1"/>
            <a:r>
              <a:rPr lang="ar" sz="1100" kern="1200">
                <a:solidFill>
                  <a:schemeClr val="dk1"/>
                </a:solidFill>
                <a:effectLst/>
                <a:latin typeface="+mn-lt"/>
                <a:ea typeface="+mn-ea"/>
                <a:cs typeface="Tahoma" panose="020B0604030504040204" pitchFamily="34" charset="0"/>
              </a:rPr>
              <a:t>غير</a:t>
            </a:r>
            <a:r>
              <a:rPr lang="ar" sz="1100" kern="1200" baseline="0">
                <a:solidFill>
                  <a:schemeClr val="dk1"/>
                </a:solidFill>
                <a:effectLst/>
                <a:latin typeface="+mn-lt"/>
                <a:ea typeface="+mn-ea"/>
                <a:cs typeface="Tahoma" panose="020B0604030504040204" pitchFamily="34" charset="0"/>
              </a:rPr>
              <a:t> الأرقام هنا، وشاهد الصيغة تتغير تلقائياً.</a:t>
            </a:r>
            <a:endParaRPr lang="en-US" sz="1100">
              <a:effectLst/>
              <a:cs typeface="Tahoma" panose="020B0604030504040204" pitchFamily="34" charset="0"/>
            </a:endParaRPr>
          </a:p>
        </xdr:txBody>
      </xdr:sp>
    </xdr:grpSp>
    <xdr:clientData/>
  </xdr:twoCellAnchor>
  <xdr:twoCellAnchor editAs="absolute">
    <xdr:from>
      <xdr:col>5</xdr:col>
      <xdr:colOff>109256</xdr:colOff>
      <xdr:row>27</xdr:row>
      <xdr:rowOff>34524</xdr:rowOff>
    </xdr:from>
    <xdr:to>
      <xdr:col>9</xdr:col>
      <xdr:colOff>465905</xdr:colOff>
      <xdr:row>40</xdr:row>
      <xdr:rowOff>9525</xdr:rowOff>
    </xdr:to>
    <xdr:grpSp>
      <xdr:nvGrpSpPr>
        <xdr:cNvPr id="170" name="من الرائع معرفة أنه" descr="من الرائع معرفة أن&#10;&#10;">
          <a:extLst>
            <a:ext uri="{FF2B5EF4-FFF2-40B4-BE49-F238E27FC236}">
              <a16:creationId xmlns:a16="http://schemas.microsoft.com/office/drawing/2014/main" id="{C43C872B-4996-44B6-9821-46907E2D5805}"/>
            </a:ext>
          </a:extLst>
        </xdr:cNvPr>
        <xdr:cNvGrpSpPr/>
      </xdr:nvGrpSpPr>
      <xdr:grpSpPr>
        <a:xfrm flipH="1">
          <a:off x="11385480970" y="5768574"/>
          <a:ext cx="3947574" cy="2470551"/>
          <a:chOff x="7053810" y="15226304"/>
          <a:chExt cx="3722724" cy="2125702"/>
        </a:xfrm>
      </xdr:grpSpPr>
      <xdr:sp macro="" textlink="">
        <xdr:nvSpPr>
          <xdr:cNvPr id="212" name="الخطوة" descr="GOOD TO KNOW&#10;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10;&#10;For example: Select the yellow cell with 12 below. You'll see we used the SUM function with a range of cells. We didn't type in &quot;4&quot; or &quot;8&quot; directly into the formula. &#10;">
            <a:extLst>
              <a:ext uri="{FF2B5EF4-FFF2-40B4-BE49-F238E27FC236}">
                <a16:creationId xmlns:a16="http://schemas.microsoft.com/office/drawing/2014/main" id="{D04FEABC-54EC-41D4-8544-354A180A4128}"/>
              </a:ext>
            </a:extLst>
          </xdr:cNvPr>
          <xdr:cNvSpPr txBox="1"/>
        </xdr:nvSpPr>
        <xdr:spPr>
          <a:xfrm flipH="1">
            <a:off x="7377112" y="15262899"/>
            <a:ext cx="3399422" cy="2089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من الرائع معرفة أنه</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الثوابت هي قيم تقوم بإدخالها في الخلايا أو الصيغ. في حين أن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=10+20</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قد تحسب نفس قيمة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=A1+B1</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فإن الثوابت لا تعتبر ممارسة جيدة. لماذا؟ لأنه يتعذر عليك رؤية الثابت بسهولة دون تحديد الخلية والبحث عنه. وهذا يجعل التغيير وقت لاحق صعباً. أنها أسهل بكثير من وضع الثوابت الخاصة بك في الخلايا، حيث يمكن تعديلها بسهولة، والإشارة إليها في الصيغ.</a:t>
            </a:r>
          </a:p>
          <a:p>
            <a:pPr algn="r" rtl="1" eaLnBrk="1" fontAlgn="auto" latinLnBrk="0" hangingPunct="1"/>
            <a:endPar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على سبيل المثال: حدد الخلية الصفراء بـ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12</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أدناه. سترى أننا استخدمنا الدالة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SUM</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مع نطاق الخلايا. نحن لم نكتب "4" أو "8" مباشرة في الصيغة. </a:t>
            </a:r>
          </a:p>
        </xdr:txBody>
      </xdr:sp>
      <xdr:pic>
        <xdr:nvPicPr>
          <xdr:cNvPr id="213" name="الرسم 147" descr="نظارات">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a:off x="7053810" y="15226304"/>
            <a:ext cx="323347" cy="349115"/>
          </a:xfrm>
          <a:prstGeom prst="rect">
            <a:avLst/>
          </a:prstGeom>
        </xdr:spPr>
      </xdr:pic>
    </xdr:grpSp>
    <xdr:clientData/>
  </xdr:twoCellAnchor>
  <xdr:twoCellAnchor editAs="oneCell">
    <xdr:from>
      <xdr:col>1</xdr:col>
      <xdr:colOff>5478600</xdr:colOff>
      <xdr:row>26</xdr:row>
      <xdr:rowOff>76200</xdr:rowOff>
    </xdr:from>
    <xdr:to>
      <xdr:col>4</xdr:col>
      <xdr:colOff>713196</xdr:colOff>
      <xdr:row>33</xdr:row>
      <xdr:rowOff>95448</xdr:rowOff>
    </xdr:to>
    <xdr:pic>
      <xdr:nvPicPr>
        <xdr:cNvPr id="3" name="الصورة 2" descr="الثوابت هي قيم تقوم بإدخالها في الخلايا أو الصيغ. في حين أن =10+20 قد تحسب نفس قيمة =A1+B1، فإن الثوابت لا تعتبر ممارسة جيدة. لماذا؟ لأنه يتعذر عليك رؤية الثابت بسهولة دون تحديد الخلية والبحث عنه. قد يصعب ذلك التغيير لاحقاً. أنها أسهل بكثير من وضع الثوابت الخاصة بك في الخلايا، حيث يمكن تعديلها بسهولة، والإشارة إليها في الصيغ.&#10;">
          <a:extLst>
            <a:ext uri="{FF2B5EF4-FFF2-40B4-BE49-F238E27FC236}">
              <a16:creationId xmlns:a16="http://schemas.microsoft.com/office/drawing/2014/main" id="{3808C00C-1654-4B71-AEA3-B46BBA6A8A1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xdr:blipFill>
      <xdr:spPr>
        <a:xfrm>
          <a:off x="11390186679" y="5629275"/>
          <a:ext cx="3511821" cy="1428948"/>
        </a:xfrm>
        <a:prstGeom prst="rect">
          <a:avLst/>
        </a:prstGeom>
      </xdr:spPr>
    </xdr:pic>
    <xdr:clientData/>
  </xdr:twoCellAnchor>
  <xdr:twoCellAnchor editAs="oneCell">
    <xdr:from>
      <xdr:col>1</xdr:col>
      <xdr:colOff>5474692</xdr:colOff>
      <xdr:row>34</xdr:row>
      <xdr:rowOff>152400</xdr:rowOff>
    </xdr:from>
    <xdr:to>
      <xdr:col>4</xdr:col>
      <xdr:colOff>631289</xdr:colOff>
      <xdr:row>45</xdr:row>
      <xdr:rowOff>257</xdr:rowOff>
    </xdr:to>
    <xdr:pic>
      <xdr:nvPicPr>
        <xdr:cNvPr id="4" name="الصورة 3" descr="يحتوي نطاق الخلايا على خلية بداية وعلامة النقطتين وخلية نهاية. عند تحديد نطاق الخلايا لصيغة، سيضيف Excel علامة النقطتين تلقائياً. على سبيل المثال: A1:A10 هو نطاق الخلايا من A1 إلى الخلية A10.">
          <a:extLst>
            <a:ext uri="{FF2B5EF4-FFF2-40B4-BE49-F238E27FC236}">
              <a16:creationId xmlns:a16="http://schemas.microsoft.com/office/drawing/2014/main" id="{A10B1741-C031-4CCA-8649-E13E092B516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xdr:blipFill>
      <xdr:spPr>
        <a:xfrm>
          <a:off x="11390268586" y="7296150"/>
          <a:ext cx="3433822" cy="1838582"/>
        </a:xfrm>
        <a:prstGeom prst="rect">
          <a:avLst/>
        </a:prstGeom>
      </xdr:spPr>
    </xdr:pic>
    <xdr:clientData/>
  </xdr:twoCellAnchor>
  <xdr:twoCellAnchor editAs="oneCell">
    <xdr:from>
      <xdr:col>1</xdr:col>
      <xdr:colOff>5500239</xdr:colOff>
      <xdr:row>46</xdr:row>
      <xdr:rowOff>47625</xdr:rowOff>
    </xdr:from>
    <xdr:to>
      <xdr:col>5</xdr:col>
      <xdr:colOff>1171282</xdr:colOff>
      <xdr:row>59</xdr:row>
      <xdr:rowOff>19374</xdr:rowOff>
    </xdr:to>
    <xdr:pic>
      <xdr:nvPicPr>
        <xdr:cNvPr id="5" name="الصورة 4" descr="عند استخدام الدالات في Excel، تبدأ باسم الدالة مثل =SUM، ثم قوس فتح. بعد إضافة وسيطات الدالة أو النطاقات، يمكنك فصل العديد من النطاقات أو الوسيطات باستخدام فاصلات. في هذا المثال نحن نجمع نطاقين باستخدام =SUM(A1:A10,C1:C10).">
          <a:extLst>
            <a:ext uri="{FF2B5EF4-FFF2-40B4-BE49-F238E27FC236}">
              <a16:creationId xmlns:a16="http://schemas.microsoft.com/office/drawing/2014/main" id="{9CE19FB0-7F40-4845-93C2-4653431C867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xdr:blipFill>
      <xdr:spPr>
        <a:xfrm>
          <a:off x="11388366518" y="9363075"/>
          <a:ext cx="5310343" cy="23244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63</xdr:row>
      <xdr:rowOff>142875</xdr:rowOff>
    </xdr:from>
    <xdr:to>
      <xdr:col>1</xdr:col>
      <xdr:colOff>5238750</xdr:colOff>
      <xdr:row>82</xdr:row>
      <xdr:rowOff>19050</xdr:rowOff>
    </xdr:to>
    <xdr:grpSp>
      <xdr:nvGrpSpPr>
        <xdr:cNvPr id="180" name="المزيد على الويب" descr="More information on the web, contains links to the web&#10;Back to top&#10;Next step">
          <a:hlinkClick xmlns:r="http://schemas.openxmlformats.org/officeDocument/2006/relationships" r:id="rId1" tooltip="انقر هنا للتقدم إلى ورقة العمل التالية"/>
          <a:extLst>
            <a:ext uri="{FF2B5EF4-FFF2-40B4-BE49-F238E27FC236}">
              <a16:creationId xmlns:a16="http://schemas.microsoft.com/office/drawing/2014/main" id="{ABD21ECB-A0A3-4E0D-861E-B3FBCE376575}"/>
            </a:ext>
          </a:extLst>
        </xdr:cNvPr>
        <xdr:cNvGrpSpPr/>
      </xdr:nvGrpSpPr>
      <xdr:grpSpPr>
        <a:xfrm flipH="1">
          <a:off x="10924841625" y="12715875"/>
          <a:ext cx="5857875" cy="3495675"/>
          <a:chOff x="323850" y="16837043"/>
          <a:chExt cx="5737224" cy="3349188"/>
        </a:xfrm>
      </xdr:grpSpPr>
      <xdr:sp macro="" textlink="">
        <xdr:nvSpPr>
          <xdr:cNvPr id="181" name="المستطيل 180">
            <a:extLst>
              <a:ext uri="{FF2B5EF4-FFF2-40B4-BE49-F238E27FC236}">
                <a16:creationId xmlns:a16="http://schemas.microsoft.com/office/drawing/2014/main" id="{EAA4229D-20C0-4C8C-B547-F8660867DCFA}"/>
              </a:ext>
            </a:extLst>
          </xdr:cNvPr>
          <xdr:cNvSpPr/>
        </xdr:nvSpPr>
        <xdr:spPr>
          <a:xfrm flipH="1">
            <a:off x="323850" y="16837043"/>
            <a:ext cx="5737224"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182" name="الخطوة" descr="المزيد من المعلومات على الويب&#10;">
            <a:extLst>
              <a:ext uri="{FF2B5EF4-FFF2-40B4-BE49-F238E27FC236}">
                <a16:creationId xmlns:a16="http://schemas.microsoft.com/office/drawing/2014/main" id="{9CE68B18-1C76-45F8-8E5A-72898F80A45D}"/>
              </a:ext>
            </a:extLst>
          </xdr:cNvPr>
          <xdr:cNvSpPr txBox="1"/>
        </xdr:nvSpPr>
        <xdr:spPr>
          <a:xfrm flipH="1">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183" name="موصل مستقيم 182" descr="سطر مزخرف">
            <a:extLst>
              <a:ext uri="{FF2B5EF4-FFF2-40B4-BE49-F238E27FC236}">
                <a16:creationId xmlns:a16="http://schemas.microsoft.com/office/drawing/2014/main" id="{4539B486-E07C-48F8-9EDA-2AE83C69E95B}"/>
              </a:ext>
            </a:extLst>
          </xdr:cNvPr>
          <xdr:cNvCxnSpPr>
            <a:cxnSpLocks/>
          </xdr:cNvCxnSpPr>
        </xdr:nvCxnSpPr>
        <xdr:spPr>
          <a:xfrm flipH="1">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زر &quot;التالي&quot;" descr="الرجوع إلى أعلى، مرتبط ارتباطاً تشعبياً إلى الخلية A1">
            <a:hlinkClick xmlns:r="http://schemas.openxmlformats.org/officeDocument/2006/relationships" r:id="rId1" tooltip="حدد للعودة إلى الخلية A1 في ورقة العمل هذه"/>
            <a:extLst>
              <a:ext uri="{FF2B5EF4-FFF2-40B4-BE49-F238E27FC236}">
                <a16:creationId xmlns:a16="http://schemas.microsoft.com/office/drawing/2014/main" id="{95BB311B-A2C7-4A68-9A8B-82CD5B1C75D5}"/>
              </a:ext>
            </a:extLst>
          </xdr:cNvPr>
          <xdr:cNvSpPr/>
        </xdr:nvSpPr>
        <xdr:spPr>
          <a:xfrm flipH="1">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الرجوع إلى أعلى</a:t>
            </a:r>
          </a:p>
        </xdr:txBody>
      </xdr:sp>
      <xdr:cxnSp macro="">
        <xdr:nvCxnSpPr>
          <xdr:cNvPr id="185" name="موصل مستقيم 184" descr="سطر مزخرف">
            <a:extLst>
              <a:ext uri="{FF2B5EF4-FFF2-40B4-BE49-F238E27FC236}">
                <a16:creationId xmlns:a16="http://schemas.microsoft.com/office/drawing/2014/main" id="{31604368-D311-4E9B-8820-4730030A0801}"/>
              </a:ext>
            </a:extLst>
          </xdr:cNvPr>
          <xdr:cNvCxnSpPr>
            <a:cxnSpLocks/>
          </xdr:cNvCxnSpPr>
        </xdr:nvCxnSpPr>
        <xdr:spPr>
          <a:xfrm flipH="1">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زر &quot;التالي&quot;" descr="زر &quot;الخطوة التالية&quot;، الارتباط التشعبي إلى ورقة العمل التالية">
            <a:hlinkClick xmlns:r="http://schemas.openxmlformats.org/officeDocument/2006/relationships" r:id="rId2" tooltip="انقر هنا للتقدم إلى ورقة العمل التالية"/>
            <a:extLst>
              <a:ext uri="{FF2B5EF4-FFF2-40B4-BE49-F238E27FC236}">
                <a16:creationId xmlns:a16="http://schemas.microsoft.com/office/drawing/2014/main" id="{4F102BCA-DDCB-4390-A653-445B336B333A}"/>
              </a:ext>
            </a:extLst>
          </xdr:cNvPr>
          <xdr:cNvSpPr/>
        </xdr:nvSpPr>
        <xdr:spPr>
          <a:xfrm>
            <a:off x="4537067" y="19669174"/>
            <a:ext cx="1276359"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الخطوة التالية</a:t>
            </a:r>
          </a:p>
        </xdr:txBody>
      </xdr:sp>
      <xdr:sp macro="" textlink="">
        <xdr:nvSpPr>
          <xdr:cNvPr id="187" name="الخطوة" descr="جميع المعلومات حول الدالة SUM، مرتبط ارتباطاً تشعبياً إلى الويب&#10;&#10;">
            <a:hlinkClick xmlns:r="http://schemas.openxmlformats.org/officeDocument/2006/relationships" r:id="rId3" tooltip="حدد للتعرف على جميع المعلومات حول الدالة SUM من الويب"/>
            <a:extLst>
              <a:ext uri="{FF2B5EF4-FFF2-40B4-BE49-F238E27FC236}">
                <a16:creationId xmlns:a16="http://schemas.microsoft.com/office/drawing/2014/main" id="{AB2D976E-4F84-41AE-9EC8-DB5589E60A01}"/>
              </a:ext>
            </a:extLst>
          </xdr:cNvPr>
          <xdr:cNvSpPr txBox="1"/>
        </xdr:nvSpPr>
        <xdr:spPr>
          <a:xfrm flipH="1">
            <a:off x="1003909" y="17606489"/>
            <a:ext cx="2613015"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SUM</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الدالة</a:t>
            </a:r>
          </a:p>
        </xdr:txBody>
      </xdr:sp>
      <xdr:pic>
        <xdr:nvPicPr>
          <xdr:cNvPr id="188" name="الرسم 22" descr="سهم">
            <a:hlinkClick xmlns:r="http://schemas.openxmlformats.org/officeDocument/2006/relationships" r:id="rId3" tooltip="حدد للتعرّف على المزيد من الويب"/>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الخطوة" descr="جميع المعلومات حول الجمع التلقائي لجمع الأرقام، مرتبط ارتباطاً تشعبياً إلى الويب&#10;">
            <a:hlinkClick xmlns:r="http://schemas.openxmlformats.org/officeDocument/2006/relationships" r:id="rId6" tooltip="حدد للتعرف على جميع المعلومات حول استخدام جمع تلقائي لجمع الأرقام على الويب"/>
            <a:extLst>
              <a:ext uri="{FF2B5EF4-FFF2-40B4-BE49-F238E27FC236}">
                <a16:creationId xmlns:a16="http://schemas.microsoft.com/office/drawing/2014/main" id="{E8AF0476-BB01-4EAA-81FC-EFE0808FE13E}"/>
              </a:ext>
            </a:extLst>
          </xdr:cNvPr>
          <xdr:cNvSpPr txBox="1"/>
        </xdr:nvSpPr>
        <xdr:spPr>
          <a:xfrm flipH="1">
            <a:off x="1003908" y="18058397"/>
            <a:ext cx="24475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استخدام الجمع التلقائي</a:t>
            </a:r>
            <a:r>
              <a:rPr lang="ar" sz="1100" u="sng"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لجمع الأرقام</a:t>
            </a:r>
            <a:endPar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pic>
        <xdr:nvPicPr>
          <xdr:cNvPr id="190" name="الرسم 22" descr="سهم">
            <a:hlinkClick xmlns:r="http://schemas.openxmlformats.org/officeDocument/2006/relationships" r:id="rId6" tooltip="حدد للتعرّف على المزيد من الويب"/>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الخطوة" descr="تعرف على جميع المعلومات حول الدالة COUNT، مرتبط ارتباطاً تشعبياً إلى الويب&#10;">
            <a:hlinkClick xmlns:r="http://schemas.openxmlformats.org/officeDocument/2006/relationships" r:id="rId7" tooltip="حدد للتعرف على جميع المعلومات حول الدالة COUNT على الويب"/>
            <a:extLst>
              <a:ext uri="{FF2B5EF4-FFF2-40B4-BE49-F238E27FC236}">
                <a16:creationId xmlns:a16="http://schemas.microsoft.com/office/drawing/2014/main" id="{9FF9A895-01D5-42A2-8C16-126975374E45}"/>
              </a:ext>
            </a:extLst>
          </xdr:cNvPr>
          <xdr:cNvSpPr txBox="1"/>
        </xdr:nvSpPr>
        <xdr:spPr>
          <a:xfrm flipH="1">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COUNT</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 </a:t>
            </a:r>
          </a:p>
        </xdr:txBody>
      </xdr:sp>
      <xdr:pic>
        <xdr:nvPicPr>
          <xdr:cNvPr id="192" name="الرسم 22" descr="سهم">
            <a:hlinkClick xmlns:r="http://schemas.openxmlformats.org/officeDocument/2006/relationships" r:id="rId7" tooltip="حدد للتعرّف على المزيد من الويب"/>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الخطوة" descr="التدريب المجاني على Excel عبر الإنترنت، مرتبط ارتباطاً تشعبياً إلى الويب&#10;">
            <a:hlinkClick xmlns:r="http://schemas.openxmlformats.org/officeDocument/2006/relationships" r:id="rId8" tooltip="حدد للتعرف على تدريب Excel المجاني من الويب"/>
            <a:extLst>
              <a:ext uri="{FF2B5EF4-FFF2-40B4-BE49-F238E27FC236}">
                <a16:creationId xmlns:a16="http://schemas.microsoft.com/office/drawing/2014/main" id="{62BCA8C0-A9F1-4706-AAE7-F42F5ABFF970}"/>
              </a:ext>
            </a:extLst>
          </xdr:cNvPr>
          <xdr:cNvSpPr txBox="1"/>
        </xdr:nvSpPr>
        <xdr:spPr>
          <a:xfrm flipH="1">
            <a:off x="1016608" y="18952686"/>
            <a:ext cx="2814878"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194" name="الرسم 22" descr="سهم">
            <a:hlinkClick xmlns:r="http://schemas.openxmlformats.org/officeDocument/2006/relationships" r:id="rId8" tooltip="حدد للتعرّف على المزيد من الويب"/>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2</xdr:col>
      <xdr:colOff>552450</xdr:colOff>
      <xdr:row>51</xdr:row>
      <xdr:rowOff>6344</xdr:rowOff>
    </xdr:from>
    <xdr:to>
      <xdr:col>6</xdr:col>
      <xdr:colOff>257175</xdr:colOff>
      <xdr:row>61</xdr:row>
      <xdr:rowOff>57146</xdr:rowOff>
    </xdr:to>
    <xdr:grpSp>
      <xdr:nvGrpSpPr>
        <xdr:cNvPr id="195" name="تفاصيل مهمة"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74BFEDDD-8921-45D1-999F-60CB0E0DD7BD}"/>
            </a:ext>
          </a:extLst>
        </xdr:cNvPr>
        <xdr:cNvGrpSpPr/>
      </xdr:nvGrpSpPr>
      <xdr:grpSpPr>
        <a:xfrm flipH="1">
          <a:off x="10920117225" y="10293344"/>
          <a:ext cx="3105150" cy="1955802"/>
          <a:chOff x="6788150" y="10960177"/>
          <a:chExt cx="3714749" cy="1889001"/>
        </a:xfrm>
      </xdr:grpSpPr>
      <xdr:sp macro="" textlink="">
        <xdr:nvSpPr>
          <xdr:cNvPr id="196" name="إرشاد"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10;&#10;">
            <a:extLst>
              <a:ext uri="{FF2B5EF4-FFF2-40B4-BE49-F238E27FC236}">
                <a16:creationId xmlns:a16="http://schemas.microsoft.com/office/drawing/2014/main" id="{1FE4BFF8-BF17-48D3-9562-7351530CBA15}"/>
              </a:ext>
            </a:extLst>
          </xdr:cNvPr>
          <xdr:cNvSpPr txBox="1"/>
        </xdr:nvSpPr>
        <xdr:spPr>
          <a:xfrm flipH="1">
            <a:off x="7073899" y="11363322"/>
            <a:ext cx="3429000" cy="1485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تفاصيل مهمة</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انقر نقراً مزدوجاً فوق هذه الخلية. ستلاحظ </a:t>
            </a:r>
            <a:r>
              <a:rPr lang="ar" sz="1100" b="0" i="1"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100</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في النهاية. على الرغم من أنه من الممكن وضع الأرقام في صيغة مماثلة لما يلي، إلا إننا لا نوصي بها إلا للضرورة. يعرف ذلك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بالثابت</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ومن السهل إذا نسيت أنه هناك. نحن ننصحك بالرجوع إلى خلية أخرى بدلاً من تلك، مثل الخلية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F51</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بهذه الطريقة تصبح سهلة الرؤية وغير مخفية داخل صيغة. </a:t>
            </a:r>
            <a:endParaRPr lang="en-US" sz="1100">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197" name="نظارة مكبرة" descr="عدسة تكبير">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788150" y="11420475"/>
            <a:ext cx="352313" cy="339611"/>
          </a:xfrm>
          <a:prstGeom prst="rect">
            <a:avLst/>
          </a:prstGeom>
        </xdr:spPr>
      </xdr:pic>
      <xdr:sp macro="" textlink="">
        <xdr:nvSpPr>
          <xdr:cNvPr id="198" name="سهم" descr="سهم">
            <a:extLst>
              <a:ext uri="{FF2B5EF4-FFF2-40B4-BE49-F238E27FC236}">
                <a16:creationId xmlns:a16="http://schemas.microsoft.com/office/drawing/2014/main" id="{AD1DFADD-C889-466B-A332-624664B0EE01}"/>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1" anchor="t"/>
          <a:lstStyle/>
          <a:p>
            <a:pPr algn="l" rtl="1"/>
            <a:endParaRPr lang="en-US" sz="1100"/>
          </a:p>
        </xdr:txBody>
      </xdr:sp>
    </xdr:grpSp>
    <xdr:clientData/>
  </xdr:twoCellAnchor>
  <xdr:twoCellAnchor>
    <xdr:from>
      <xdr:col>4</xdr:col>
      <xdr:colOff>7414</xdr:colOff>
      <xdr:row>33</xdr:row>
      <xdr:rowOff>120650</xdr:rowOff>
    </xdr:from>
    <xdr:to>
      <xdr:col>8</xdr:col>
      <xdr:colOff>657222</xdr:colOff>
      <xdr:row>42</xdr:row>
      <xdr:rowOff>114300</xdr:rowOff>
    </xdr:to>
    <xdr:grpSp>
      <xdr:nvGrpSpPr>
        <xdr:cNvPr id="2" name="المجموعة 1">
          <a:extLst>
            <a:ext uri="{FF2B5EF4-FFF2-40B4-BE49-F238E27FC236}">
              <a16:creationId xmlns:a16="http://schemas.microsoft.com/office/drawing/2014/main" id="{C31E7FA9-873B-48E5-80FF-FEEB66A44E83}"/>
            </a:ext>
          </a:extLst>
        </xdr:cNvPr>
        <xdr:cNvGrpSpPr/>
      </xdr:nvGrpSpPr>
      <xdr:grpSpPr>
        <a:xfrm flipH="1">
          <a:off x="10918040778" y="6978650"/>
          <a:ext cx="3707333" cy="1708150"/>
          <a:chOff x="8151293" y="6978650"/>
          <a:chExt cx="3331879" cy="1708150"/>
        </a:xfrm>
      </xdr:grpSpPr>
      <xdr:pic>
        <xdr:nvPicPr>
          <xdr:cNvPr id="200" name="رسم شريط الحالة" descr="رسم شريط الحالة Sum: 170">
            <a:extLst>
              <a:ext uri="{FF2B5EF4-FFF2-40B4-BE49-F238E27FC236}">
                <a16:creationId xmlns:a16="http://schemas.microsoft.com/office/drawing/2014/main" id="{26CBE60B-8C6B-4B6C-A49E-B12121A259C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flipH="1">
            <a:off x="9099305" y="7642326"/>
            <a:ext cx="942118" cy="188153"/>
          </a:xfrm>
          <a:prstGeom prst="rect">
            <a:avLst/>
          </a:prstGeom>
        </xdr:spPr>
      </xdr:pic>
      <xdr:grpSp>
        <xdr:nvGrpSpPr>
          <xdr:cNvPr id="201" name="اطلع على ذلك"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185E3144-984A-4865-9CA1-5E50300588AC}"/>
              </a:ext>
            </a:extLst>
          </xdr:cNvPr>
          <xdr:cNvGrpSpPr/>
        </xdr:nvGrpSpPr>
        <xdr:grpSpPr>
          <a:xfrm>
            <a:off x="8151293" y="6978650"/>
            <a:ext cx="3331879" cy="1708150"/>
            <a:chOff x="7539454" y="7993902"/>
            <a:chExt cx="3164915" cy="1708150"/>
          </a:xfrm>
        </xdr:grpSpPr>
        <xdr:grpSp>
          <xdr:nvGrpSpPr>
            <xdr:cNvPr id="202" name="أسطر قوس">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سطر قوس آخر" descr="سطر قوس">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sp macro="" textlink="">
            <xdr:nvSpPr>
              <xdr:cNvPr id="206" name="سطر قوس" descr="سطر قوس&#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grpSp>
        <xdr:pic>
          <xdr:nvPicPr>
            <xdr:cNvPr id="203" name="النجوم" descr="النجوم">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915301" y="8038700"/>
              <a:ext cx="303472" cy="337815"/>
            </a:xfrm>
            <a:prstGeom prst="rect">
              <a:avLst/>
            </a:prstGeom>
          </xdr:spPr>
        </xdr:pic>
        <xdr:sp macro="" textlink="">
          <xdr:nvSpPr>
            <xdr:cNvPr id="204" name="الإرشادات" descr="CHECK THIS OUT&#10;Select these cells. Then in the lower-right corner of the Excel window, look for SUM: 170 in the bar.&#10;&#10;That's called the Status Bar, and it's just another way to quickly find a total and other details about a selected cell or range. &#10;">
              <a:extLst>
                <a:ext uri="{FF2B5EF4-FFF2-40B4-BE49-F238E27FC236}">
                  <a16:creationId xmlns:a16="http://schemas.microsoft.com/office/drawing/2014/main" id="{8143D8DB-BD14-4B1D-99E1-49C9F0560BD1}"/>
                </a:ext>
              </a:extLst>
            </xdr:cNvPr>
            <xdr:cNvSpPr txBox="1"/>
          </xdr:nvSpPr>
          <xdr:spPr>
            <a:xfrm flipH="1">
              <a:off x="8132528" y="7993902"/>
              <a:ext cx="2571841" cy="170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اطلع على ذلك</a:t>
              </a:r>
            </a:p>
            <a:p>
              <a:pPr lvl="0" algn="r" rtl="1">
                <a:defRPr/>
              </a:pPr>
              <a:r>
                <a:rPr lang="ar" sz="1100" kern="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t>حدد هذه الخلايا. ثم في الزاوية السفلية اليسرى من</a:t>
              </a:r>
              <a:r>
                <a:rPr lang="ar" sz="1100" kern="0" baseline="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t> نافذة Excel، يمكنك البحث عن هذا:</a:t>
              </a:r>
            </a:p>
            <a:p>
              <a:pPr lvl="0" algn="r" rtl="1">
                <a:defRPr/>
              </a:pPr>
              <a:br>
                <a:rPr lang="en-US" sz="1100" kern="0" baseline="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br>
              <a:endParaRPr lang="en-US" sz="1100" kern="0" baseline="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endParaRPr>
            </a:p>
            <a:p>
              <a:pPr lvl="0" algn="r" rtl="1">
                <a:defRPr/>
              </a:pPr>
              <a:r>
                <a:rPr lang="ar" sz="1100" kern="0" baseline="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t>هذا يسمى شريط الحالة، وهي طريقة أخرى للعثور بسرعة على الإجمالي والتفاصيل الأخرى حول خلية أو نطاق محدد. </a:t>
              </a:r>
              <a:endParaRPr lang="en-US" sz="110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endParaRPr>
            </a:p>
          </xdr:txBody>
        </xdr:sp>
      </xdr:grpSp>
    </xdr:grpSp>
    <xdr:clientData/>
  </xdr:twoCellAnchor>
  <xdr:twoCellAnchor editAs="oneCell">
    <xdr:from>
      <xdr:col>5</xdr:col>
      <xdr:colOff>866774</xdr:colOff>
      <xdr:row>15</xdr:row>
      <xdr:rowOff>28576</xdr:rowOff>
    </xdr:from>
    <xdr:to>
      <xdr:col>9</xdr:col>
      <xdr:colOff>28575</xdr:colOff>
      <xdr:row>22</xdr:row>
      <xdr:rowOff>85725</xdr:rowOff>
    </xdr:to>
    <xdr:grpSp>
      <xdr:nvGrpSpPr>
        <xdr:cNvPr id="207" name="مجموعة 206" descr="EXTRA CREDIT&#10;Try adding another SUMIF formula here, but add amounts that are less than 100. The result should be 160&#10;">
          <a:extLst>
            <a:ext uri="{FF2B5EF4-FFF2-40B4-BE49-F238E27FC236}">
              <a16:creationId xmlns:a16="http://schemas.microsoft.com/office/drawing/2014/main" id="{E7464239-05BB-404B-98D2-35A40E4685F6}"/>
            </a:ext>
          </a:extLst>
        </xdr:cNvPr>
        <xdr:cNvGrpSpPr/>
      </xdr:nvGrpSpPr>
      <xdr:grpSpPr>
        <a:xfrm flipH="1">
          <a:off x="10918002675" y="3457576"/>
          <a:ext cx="2714626" cy="1390649"/>
          <a:chOff x="9048750" y="3743325"/>
          <a:chExt cx="2839722" cy="1390649"/>
        </a:xfrm>
      </xdr:grpSpPr>
      <xdr:sp macro="" textlink="">
        <xdr:nvSpPr>
          <xdr:cNvPr id="208" name="الخطوة" descr="EXTRA CREDIT&#10;Try the COUNT function using any of the methods you've already tried. The COUNT function counts the number of cells in a range that contain numbers.&#10;">
            <a:extLst>
              <a:ext uri="{FF2B5EF4-FFF2-40B4-BE49-F238E27FC236}">
                <a16:creationId xmlns:a16="http://schemas.microsoft.com/office/drawing/2014/main" id="{6928421E-45CA-4B1D-9312-B8F551C6A306}"/>
              </a:ext>
            </a:extLst>
          </xdr:cNvPr>
          <xdr:cNvSpPr txBox="1"/>
        </xdr:nvSpPr>
        <xdr:spPr>
          <a:xfrm flipH="1">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معلومة إضافية</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جرب الدالة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COUNT</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باستخدام أي أسلوب من الأساليب التي جربتها مسبقاً. تحسب الدالة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COUNT</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عدد الخلايا في نطاق يحتوي على أرقام.</a:t>
            </a:r>
          </a:p>
        </xdr:txBody>
      </xdr:sp>
      <xdr:pic>
        <xdr:nvPicPr>
          <xdr:cNvPr id="209" name="شريط معلومة إضافية" descr="شريط مزخرف">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flipH="1">
            <a:off x="9287099" y="3950551"/>
            <a:ext cx="474289" cy="439736"/>
          </a:xfrm>
          <a:prstGeom prst="rect">
            <a:avLst/>
          </a:prstGeom>
        </xdr:spPr>
      </xdr:pic>
      <xdr:sp macro="" textlink="">
        <xdr:nvSpPr>
          <xdr:cNvPr id="210" name="سهم نقاط إضافية" descr="سهم">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1" anchor="t"/>
          <a:lstStyle/>
          <a:p>
            <a:pPr algn="l" rtl="1"/>
            <a:endParaRPr lang="en-US" sz="1100"/>
          </a:p>
        </xdr:txBody>
      </xdr:sp>
    </xdr:grpSp>
    <xdr:clientData/>
  </xdr:twoCellAnchor>
  <xdr:twoCellAnchor>
    <xdr:from>
      <xdr:col>0</xdr:col>
      <xdr:colOff>355809</xdr:colOff>
      <xdr:row>22</xdr:row>
      <xdr:rowOff>28580</xdr:rowOff>
    </xdr:from>
    <xdr:to>
      <xdr:col>1</xdr:col>
      <xdr:colOff>5241372</xdr:colOff>
      <xdr:row>63</xdr:row>
      <xdr:rowOff>66675</xdr:rowOff>
    </xdr:to>
    <xdr:grpSp>
      <xdr:nvGrpSpPr>
        <xdr:cNvPr id="4" name="المجموعة 3">
          <a:extLst>
            <a:ext uri="{FF2B5EF4-FFF2-40B4-BE49-F238E27FC236}">
              <a16:creationId xmlns:a16="http://schemas.microsoft.com/office/drawing/2014/main" id="{F60B4319-44A9-469F-A62C-1D9E3BD387BB}"/>
            </a:ext>
          </a:extLst>
        </xdr:cNvPr>
        <xdr:cNvGrpSpPr/>
      </xdr:nvGrpSpPr>
      <xdr:grpSpPr>
        <a:xfrm flipH="1">
          <a:off x="10924839003" y="4791080"/>
          <a:ext cx="5847588" cy="7848595"/>
          <a:chOff x="355809" y="4791079"/>
          <a:chExt cx="5733288" cy="7848596"/>
        </a:xfrm>
      </xdr:grpSpPr>
      <xdr:sp macro="" textlink="">
        <xdr:nvSpPr>
          <xdr:cNvPr id="227" name="مستطيل 226" descr="الخلفية">
            <a:extLst>
              <a:ext uri="{FF2B5EF4-FFF2-40B4-BE49-F238E27FC236}">
                <a16:creationId xmlns:a16="http://schemas.microsoft.com/office/drawing/2014/main" id="{FE05A65F-6F64-4D5F-8F2C-C74D8B5B4B8A}"/>
              </a:ext>
            </a:extLst>
          </xdr:cNvPr>
          <xdr:cNvSpPr/>
        </xdr:nvSpPr>
        <xdr:spPr>
          <a:xfrm flipH="1">
            <a:off x="355809" y="4791079"/>
            <a:ext cx="5733288"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cxnSp macro="">
        <xdr:nvCxnSpPr>
          <xdr:cNvPr id="228" name="موصل مستقيم 227" descr="سطر مزخرف">
            <a:extLst>
              <a:ext uri="{FF2B5EF4-FFF2-40B4-BE49-F238E27FC236}">
                <a16:creationId xmlns:a16="http://schemas.microsoft.com/office/drawing/2014/main" id="{E01E9DE0-78BF-4EAC-AF4D-2F1BE5EF054F}"/>
              </a:ext>
            </a:extLst>
          </xdr:cNvPr>
          <xdr:cNvCxnSpPr>
            <a:cxnSpLocks/>
          </xdr:cNvCxnSpPr>
        </xdr:nvCxnSpPr>
        <xdr:spPr>
          <a:xfrm flipH="1">
            <a:off x="549298" y="5465828"/>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موصل مستقيم 228" descr="سطر مزخرف">
            <a:extLst>
              <a:ext uri="{FF2B5EF4-FFF2-40B4-BE49-F238E27FC236}">
                <a16:creationId xmlns:a16="http://schemas.microsoft.com/office/drawing/2014/main" id="{178E934D-C0C4-4CD9-B5EC-2F0A9FC59848}"/>
              </a:ext>
            </a:extLst>
          </xdr:cNvPr>
          <xdr:cNvCxnSpPr>
            <a:cxnSpLocks/>
          </xdr:cNvCxnSpPr>
        </xdr:nvCxnSpPr>
        <xdr:spPr>
          <a:xfrm flipH="1">
            <a:off x="549298" y="12411222"/>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الخطوة" descr="المزيد حول الدالات&#10;">
            <a:extLst>
              <a:ext uri="{FF2B5EF4-FFF2-40B4-BE49-F238E27FC236}">
                <a16:creationId xmlns:a16="http://schemas.microsoft.com/office/drawing/2014/main" id="{07DB6895-0278-4CEA-ABE6-CD6248F44EB5}"/>
              </a:ext>
            </a:extLst>
          </xdr:cNvPr>
          <xdr:cNvSpPr txBox="1"/>
        </xdr:nvSpPr>
        <xdr:spPr>
          <a:xfrm flipH="1">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حول الدالات</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sp macro="" textlink="">
        <xdr:nvSpPr>
          <xdr:cNvPr id="231" name="الخطوة" descr="Go to the Formulas tab and browse through the Function Library, where functions are listed by category, like Text, Date &amp; Time, etc. Insert Function will let you search for functions by name, and launch a function wizard that can help you build your formula. &#10;&#10;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10;&#10;Now let's look at the anatomy of a few functions. The SUM function is structured like this:&#10;&#10;=SUM(D38:D41,H:H&quot;), where SUM is the function name, D38:D41 is the first argument. It's almost always required. H:H is an additional argument, separated by commas.&#10;&#10;">
            <a:extLst>
              <a:ext uri="{FF2B5EF4-FFF2-40B4-BE49-F238E27FC236}">
                <a16:creationId xmlns:a16="http://schemas.microsoft.com/office/drawing/2014/main" id="{17A99C0A-6405-4FD6-AD00-AD6255FB6C83}"/>
              </a:ext>
            </a:extLst>
          </xdr:cNvPr>
          <xdr:cNvSpPr txBox="1"/>
        </xdr:nvSpPr>
        <xdr:spPr>
          <a:xfrm flipH="1">
            <a:off x="564213" y="5559755"/>
            <a:ext cx="5255562" cy="2803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انتقل إلى</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علامة التبويب </a:t>
            </a:r>
            <a:r>
              <a:rPr lang="ar" sz="1100" b="1"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الصيغ </a:t>
            </a:r>
            <a:r>
              <a:rPr lang="ar" sz="1100" b="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واستعرض</a:t>
            </a:r>
            <a:r>
              <a:rPr lang="ar" sz="1100" b="1"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"مكتبة الدالات" </a:t>
            </a:r>
            <a:r>
              <a:rPr lang="ar" sz="1100" kern="1200" baseline="0">
                <a:solidFill>
                  <a:schemeClr val="dk1"/>
                </a:solidFill>
                <a:effectLst/>
                <a:latin typeface="Tahoma" panose="020B0604030504040204" pitchFamily="34" charset="0"/>
                <a:ea typeface="+mn-ea"/>
                <a:cs typeface="Tahoma" panose="020B0604030504040204" pitchFamily="34" charset="0"/>
              </a:rPr>
              <a:t>،</a:t>
            </a:r>
            <a:r>
              <a:rPr lang="ar" sz="1100" b="1" kern="1200" baseline="0">
                <a:solidFill>
                  <a:schemeClr val="dk1"/>
                </a:solidFill>
                <a:effectLst/>
                <a:latin typeface="Tahoma" panose="020B0604030504040204" pitchFamily="34" charset="0"/>
                <a:ea typeface="+mn-ea"/>
                <a:cs typeface="Tahoma" panose="020B0604030504040204" pitchFamily="34" charset="0"/>
              </a:rPr>
              <a:t> </a:t>
            </a:r>
            <a:r>
              <a:rPr lang="ar" sz="1100" kern="1200" baseline="0">
                <a:solidFill>
                  <a:schemeClr val="dk1"/>
                </a:solidFill>
                <a:effectLst/>
                <a:latin typeface="Tahoma" panose="020B0604030504040204" pitchFamily="34" charset="0"/>
                <a:ea typeface="+mn-ea"/>
                <a:cs typeface="Tahoma" panose="020B0604030504040204" pitchFamily="34" charset="0"/>
              </a:rPr>
              <a:t>حيث يتم إدراج الدالات حسب الفئة، مثل </a:t>
            </a:r>
            <a:r>
              <a:rPr lang="ar" sz="1100" b="1" kern="1200" baseline="0">
                <a:solidFill>
                  <a:schemeClr val="dk1"/>
                </a:solidFill>
                <a:effectLst/>
                <a:latin typeface="Tahoma" panose="020B0604030504040204" pitchFamily="34" charset="0"/>
                <a:ea typeface="+mn-ea"/>
                <a:cs typeface="Tahoma" panose="020B0604030504040204" pitchFamily="34" charset="0"/>
              </a:rPr>
              <a:t>النص</a:t>
            </a:r>
            <a:r>
              <a:rPr lang="ar" sz="1100" kern="1200" baseline="0">
                <a:solidFill>
                  <a:schemeClr val="dk1"/>
                </a:solidFill>
                <a:effectLst/>
                <a:latin typeface="Tahoma" panose="020B0604030504040204" pitchFamily="34" charset="0"/>
                <a:ea typeface="+mn-ea"/>
                <a:cs typeface="Tahoma" panose="020B0604030504040204" pitchFamily="34" charset="0"/>
              </a:rPr>
              <a:t> والتاريخ والوقت وغير ذلك.</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1"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"إدراج دالة"</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سيسمح لك بالبحث عن الدالات حسب الاسم، وتشغيل معالج الدالة الذي يمكن أن يساعدك في إنشاء الصيغة الخاصة بك. </a:t>
            </a:r>
          </a:p>
          <a:p>
            <a:pPr lvl="0" algn="r" rtl="1">
              <a:defRPr/>
            </a:pPr>
            <a:endParaRPr lang="en-US"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a:p>
            <a:pPr lvl="0" algn="r" rtl="1">
              <a:defRPr/>
            </a:pP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عندما تبدأ بكتابة اسم دالة بعد الضغط على </a:t>
            </a:r>
            <a:r>
              <a:rPr lang="ar" sz="1100" b="1"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a:t>
            </a:r>
            <a:r>
              <a:rPr lang="ar" sz="1100" b="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سيفتح Excel </a:t>
            </a:r>
            <a:r>
              <a:rPr lang="ar" sz="1100" b="1"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Intellisense</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حيث سيدرج كافة الدالات التي تبدأ بالحروف التي كتبتها. عند العثور على الخيار الذي تريده، اضغط على المفتاح Tab، وسيقوم Excel بإنهاء اسم الدالة وإدخال قوس الفتح نيابة عنك. سيتم عرض الوسيطات الاختيارية والمطلوبة أيضاً. </a:t>
            </a:r>
          </a:p>
          <a:p>
            <a:pPr lvl="0" algn="r" rtl="1">
              <a:defRPr/>
            </a:pPr>
            <a:endParaRPr lang="en-US"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a:p>
            <a:pPr lvl="0" algn="r" rtl="1">
              <a:defRPr/>
            </a:pPr>
            <a:endParaRPr lang="en-US"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a:p>
            <a:pPr lvl="0" algn="r" rtl="1">
              <a:defRPr/>
            </a:pPr>
            <a:br>
              <a:rPr lang="en-US"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br>
            <a:endParaRPr lang="en-US"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a:p>
            <a:pPr lvl="0" algn="r" rtl="1">
              <a:defRPr/>
            </a:pP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الآن دعنا نتعرف على تكوين بعض الدالات. تتم هيكلة </a:t>
            </a:r>
            <a:r>
              <a:rPr lang="ar" sz="1100" b="1"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SUM</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كما يلي:</a:t>
            </a:r>
            <a:endParaRPr lang="en-US" sz="1100" kern="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grpSp>
    <xdr:clientData/>
  </xdr:twoCellAnchor>
  <xdr:twoCellAnchor>
    <xdr:from>
      <xdr:col>1</xdr:col>
      <xdr:colOff>1086605</xdr:colOff>
      <xdr:row>33</xdr:row>
      <xdr:rowOff>165145</xdr:rowOff>
    </xdr:from>
    <xdr:to>
      <xdr:col>1</xdr:col>
      <xdr:colOff>3032611</xdr:colOff>
      <xdr:row>36</xdr:row>
      <xdr:rowOff>139583</xdr:rowOff>
    </xdr:to>
    <xdr:pic>
      <xdr:nvPicPr>
        <xdr:cNvPr id="213" name="الصورة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xdr:blipFill>
      <xdr:spPr>
        <a:xfrm>
          <a:off x="10927047764" y="7023145"/>
          <a:ext cx="1946006" cy="545938"/>
        </a:xfrm>
        <a:prstGeom prst="rect">
          <a:avLst/>
        </a:prstGeom>
      </xdr:spPr>
    </xdr:pic>
    <xdr:clientData/>
  </xdr:twoCellAnchor>
  <xdr:twoCellAnchor>
    <xdr:from>
      <xdr:col>1</xdr:col>
      <xdr:colOff>382051</xdr:colOff>
      <xdr:row>40</xdr:row>
      <xdr:rowOff>47626</xdr:rowOff>
    </xdr:from>
    <xdr:to>
      <xdr:col>1</xdr:col>
      <xdr:colOff>3778369</xdr:colOff>
      <xdr:row>49</xdr:row>
      <xdr:rowOff>178798</xdr:rowOff>
    </xdr:to>
    <xdr:grpSp>
      <xdr:nvGrpSpPr>
        <xdr:cNvPr id="214" name="مجموعة 213">
          <a:extLst>
            <a:ext uri="{FF2B5EF4-FFF2-40B4-BE49-F238E27FC236}">
              <a16:creationId xmlns:a16="http://schemas.microsoft.com/office/drawing/2014/main" id="{FB827C73-8C3F-460A-9D51-BF988EA48D11}"/>
            </a:ext>
          </a:extLst>
        </xdr:cNvPr>
        <xdr:cNvGrpSpPr/>
      </xdr:nvGrpSpPr>
      <xdr:grpSpPr>
        <a:xfrm flipH="1">
          <a:off x="10926302006" y="8239126"/>
          <a:ext cx="3396318" cy="1845672"/>
          <a:chOff x="4144874" y="4314825"/>
          <a:chExt cx="3374200" cy="1845672"/>
        </a:xfrm>
      </xdr:grpSpPr>
      <xdr:sp macro="" textlink="">
        <xdr:nvSpPr>
          <xdr:cNvPr id="219" name="نص_الصيغة" descr="=SUM‏(D38:D41) ">
            <a:extLst>
              <a:ext uri="{FF2B5EF4-FFF2-40B4-BE49-F238E27FC236}">
                <a16:creationId xmlns:a16="http://schemas.microsoft.com/office/drawing/2014/main" id="{7E312E8D-370B-4CB1-9C30-9E10D575E721}"/>
              </a:ext>
            </a:extLst>
          </xdr:cNvPr>
          <xdr:cNvSpPr txBox="1"/>
        </xdr:nvSpPr>
        <xdr:spPr>
          <a:xfrm flipH="1">
            <a:off x="4386251" y="5629275"/>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1" anchor="t"/>
          <a:lstStyle/>
          <a:p>
            <a:pPr marL="0" marR="0" rtl="1">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=SUM(D35:D38,H:H)</a:t>
            </a:r>
            <a:endParaRPr lang="en-US" sz="2000">
              <a:effectLst/>
              <a:latin typeface="Courier New" panose="02070309020205020404" pitchFamily="49" charset="0"/>
              <a:ea typeface="Times New Roman" panose="02020603050405020304" pitchFamily="18" charset="0"/>
              <a:cs typeface="Courier New" panose="02070309020205020404" pitchFamily="49" charset="0"/>
            </a:endParaRPr>
          </a:p>
        </xdr:txBody>
      </xdr:sp>
      <xdr:grpSp>
        <xdr:nvGrpSpPr>
          <xdr:cNvPr id="220" name="مجموعة 219">
            <a:extLst>
              <a:ext uri="{FF2B5EF4-FFF2-40B4-BE49-F238E27FC236}">
                <a16:creationId xmlns:a16="http://schemas.microsoft.com/office/drawing/2014/main" id="{EA425C25-3538-467E-9C7D-913A4CCFBE52}"/>
              </a:ext>
            </a:extLst>
          </xdr:cNvPr>
          <xdr:cNvGrpSpPr/>
        </xdr:nvGrpSpPr>
        <xdr:grpSpPr>
          <a:xfrm>
            <a:off x="4144874" y="4314825"/>
            <a:ext cx="3156610" cy="1394627"/>
            <a:chOff x="4144874" y="4314825"/>
            <a:chExt cx="3156610" cy="1394627"/>
          </a:xfrm>
        </xdr:grpSpPr>
        <xdr:sp macro="" textlink="">
          <xdr:nvSpPr>
            <xdr:cNvPr id="221" name="قوس الصيغة العلوي">
              <a:extLst>
                <a:ext uri="{FF2B5EF4-FFF2-40B4-BE49-F238E27FC236}">
                  <a16:creationId xmlns:a16="http://schemas.microsoft.com/office/drawing/2014/main" id="{70C6032A-6C2C-406B-8451-B3D14C49A6BC}"/>
                </a:ext>
              </a:extLst>
            </xdr:cNvPr>
            <xdr:cNvSpPr/>
          </xdr:nvSpPr>
          <xdr:spPr>
            <a:xfrm rot="16200000" flipH="1">
              <a:off x="4515417" y="5216926"/>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22" name="قوس الصيغة العلوي">
              <a:extLst>
                <a:ext uri="{FF2B5EF4-FFF2-40B4-BE49-F238E27FC236}">
                  <a16:creationId xmlns:a16="http://schemas.microsoft.com/office/drawing/2014/main" id="{56068F5B-8EA0-44DA-8571-8698F744FFA6}"/>
                </a:ext>
              </a:extLst>
            </xdr:cNvPr>
            <xdr:cNvSpPr/>
          </xdr:nvSpPr>
          <xdr:spPr>
            <a:xfrm rot="16200000" flipH="1">
              <a:off x="5417725" y="4921652"/>
              <a:ext cx="499277" cy="1057275"/>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23" name="قوس الصيغة العلوي">
              <a:extLst>
                <a:ext uri="{FF2B5EF4-FFF2-40B4-BE49-F238E27FC236}">
                  <a16:creationId xmlns:a16="http://schemas.microsoft.com/office/drawing/2014/main" id="{B06AACB5-79F8-4B5A-828E-3C81B8A6126C}"/>
                </a:ext>
              </a:extLst>
            </xdr:cNvPr>
            <xdr:cNvSpPr/>
          </xdr:nvSpPr>
          <xdr:spPr>
            <a:xfrm rot="16200000" flipH="1">
              <a:off x="6334144" y="5202160"/>
              <a:ext cx="499277" cy="47720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24" name="نص_ وسيلة شرح الصيغة العلوية" descr="اسم الدالة&#10;">
              <a:extLst>
                <a:ext uri="{FF2B5EF4-FFF2-40B4-BE49-F238E27FC236}">
                  <a16:creationId xmlns:a16="http://schemas.microsoft.com/office/drawing/2014/main" id="{A51B4DC7-A90C-4214-A9E2-B085B4A03BC0}"/>
                </a:ext>
              </a:extLst>
            </xdr:cNvPr>
            <xdr:cNvSpPr txBox="1">
              <a:spLocks noChangeArrowheads="1"/>
            </xdr:cNvSpPr>
          </xdr:nvSpPr>
          <xdr:spPr bwMode="auto">
            <a:xfrm flipH="1">
              <a:off x="6287881" y="4314825"/>
              <a:ext cx="1013603"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اسم الدالة.</a:t>
              </a:r>
            </a:p>
          </xdr:txBody>
        </xdr:sp>
        <xdr:sp macro="" textlink="">
          <xdr:nvSpPr>
            <xdr:cNvPr id="225" name="نص_ وسيلة شرح الصيغة العلوية" descr="غالباً ما تكون الوسيطة الأولى مطلوبة على الدوام.&#10;&#10;">
              <a:extLst>
                <a:ext uri="{FF2B5EF4-FFF2-40B4-BE49-F238E27FC236}">
                  <a16:creationId xmlns:a16="http://schemas.microsoft.com/office/drawing/2014/main" id="{1AA6C65B-1638-43C3-9BBA-D39DAF05E74C}"/>
                </a:ext>
              </a:extLst>
            </xdr:cNvPr>
            <xdr:cNvSpPr txBox="1">
              <a:spLocks noChangeArrowheads="1"/>
            </xdr:cNvSpPr>
          </xdr:nvSpPr>
          <xdr:spPr bwMode="auto">
            <a:xfrm flipH="1">
              <a:off x="5226071" y="4324350"/>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الوسيطة الأولى. دائماً ما تكون مطلوبة.</a:t>
              </a:r>
            </a:p>
          </xdr:txBody>
        </xdr:sp>
        <xdr:sp macro="" textlink="">
          <xdr:nvSpPr>
            <xdr:cNvPr id="226" name="نص_ وسيلة شرح الصيغة العلوية" descr="وسيطات إضافية، مفصولة بفواصل (،).&#10;&#10;">
              <a:extLst>
                <a:ext uri="{FF2B5EF4-FFF2-40B4-BE49-F238E27FC236}">
                  <a16:creationId xmlns:a16="http://schemas.microsoft.com/office/drawing/2014/main" id="{2E5F66AD-98E4-4B2A-B2BA-C09105B1A21B}"/>
                </a:ext>
              </a:extLst>
            </xdr:cNvPr>
            <xdr:cNvSpPr txBox="1">
              <a:spLocks noChangeArrowheads="1"/>
            </xdr:cNvSpPr>
          </xdr:nvSpPr>
          <xdr:spPr bwMode="auto">
            <a:xfrm flipH="1">
              <a:off x="4144874" y="4333875"/>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وسيطات إضافية، مفصولة بفواصل (،).</a:t>
              </a:r>
            </a:p>
          </xdr:txBody>
        </xdr:sp>
      </xdr:grpSp>
    </xdr:grpSp>
    <xdr:clientData/>
  </xdr:twoCellAnchor>
  <xdr:twoCellAnchor>
    <xdr:from>
      <xdr:col>0</xdr:col>
      <xdr:colOff>547558</xdr:colOff>
      <xdr:row>50</xdr:row>
      <xdr:rowOff>85726</xdr:rowOff>
    </xdr:from>
    <xdr:to>
      <xdr:col>1</xdr:col>
      <xdr:colOff>5048250</xdr:colOff>
      <xdr:row>54</xdr:row>
      <xdr:rowOff>171450</xdr:rowOff>
    </xdr:to>
    <xdr:sp macro="" textlink="">
      <xdr:nvSpPr>
        <xdr:cNvPr id="215" name="نص_ الخطوة" descr="إذا كان يمكن للدالة SUM أن تتحدث فالرسالة كالآتي، إرجاع مجموع جميع القيم في الخلايا من D38 إلى D41 والعمود H. والآن، لنجرب واحدة لا تتطلب أي وسيطات.&#10;">
          <a:extLst>
            <a:ext uri="{FF2B5EF4-FFF2-40B4-BE49-F238E27FC236}">
              <a16:creationId xmlns:a16="http://schemas.microsoft.com/office/drawing/2014/main" id="{22A1C554-76ED-4E49-A496-849BD442214B}"/>
            </a:ext>
          </a:extLst>
        </xdr:cNvPr>
        <xdr:cNvSpPr txBox="1"/>
      </xdr:nvSpPr>
      <xdr:spPr>
        <a:xfrm flipH="1">
          <a:off x="547558" y="10182226"/>
          <a:ext cx="5348417" cy="84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إذا كان يمكن للدالة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SUM</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أن تتحدث، فإن رسالة كالآتي، "إرجاع مجموع كافة القيم في الخلايا من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D35</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إلى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D38</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والعمود H"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والآن، دعنا نجرب واحدة لا تتطلب أي وسيطة.</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xdr:from>
      <xdr:col>1</xdr:col>
      <xdr:colOff>517353</xdr:colOff>
      <xdr:row>55</xdr:row>
      <xdr:rowOff>76201</xdr:rowOff>
    </xdr:from>
    <xdr:to>
      <xdr:col>1</xdr:col>
      <xdr:colOff>3489153</xdr:colOff>
      <xdr:row>62</xdr:row>
      <xdr:rowOff>131173</xdr:rowOff>
    </xdr:to>
    <xdr:grpSp>
      <xdr:nvGrpSpPr>
        <xdr:cNvPr id="3" name="المجموعة 2">
          <a:extLst>
            <a:ext uri="{FF2B5EF4-FFF2-40B4-BE49-F238E27FC236}">
              <a16:creationId xmlns:a16="http://schemas.microsoft.com/office/drawing/2014/main" id="{A1A853C7-B6EC-45D3-A4D6-9D928865ED9B}"/>
            </a:ext>
          </a:extLst>
        </xdr:cNvPr>
        <xdr:cNvGrpSpPr/>
      </xdr:nvGrpSpPr>
      <xdr:grpSpPr>
        <a:xfrm flipH="1">
          <a:off x="10926591222" y="11125201"/>
          <a:ext cx="2971800" cy="1388472"/>
          <a:chOff x="1641303" y="11125201"/>
          <a:chExt cx="2971800" cy="1388472"/>
        </a:xfrm>
      </xdr:grpSpPr>
      <xdr:sp macro="" textlink="">
        <xdr:nvSpPr>
          <xdr:cNvPr id="216" name="قوس الصيغة العلوي">
            <a:extLst>
              <a:ext uri="{FF2B5EF4-FFF2-40B4-BE49-F238E27FC236}">
                <a16:creationId xmlns:a16="http://schemas.microsoft.com/office/drawing/2014/main" id="{47A65F16-B2A6-46A3-B669-E6D2D5A6ECEB}"/>
              </a:ext>
            </a:extLst>
          </xdr:cNvPr>
          <xdr:cNvSpPr/>
        </xdr:nvSpPr>
        <xdr:spPr>
          <a:xfrm rot="16200000" flipH="1">
            <a:off x="2877565" y="11252314"/>
            <a:ext cx="499277" cy="106420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17" name="نص_الصيغة" descr="=TODAY()">
            <a:extLst>
              <a:ext uri="{FF2B5EF4-FFF2-40B4-BE49-F238E27FC236}">
                <a16:creationId xmlns:a16="http://schemas.microsoft.com/office/drawing/2014/main" id="{22DC5E2D-9AE9-4EFE-B800-9356D8B70BA7}"/>
              </a:ext>
            </a:extLst>
          </xdr:cNvPr>
          <xdr:cNvSpPr txBox="1"/>
        </xdr:nvSpPr>
        <xdr:spPr>
          <a:xfrm flipH="1">
            <a:off x="2560450" y="11982451"/>
            <a:ext cx="182161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1" anchor="t"/>
          <a:lstStyle/>
          <a:p>
            <a:pPr marL="0" marR="0" rtl="1">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=TODAY()</a:t>
            </a:r>
            <a:endParaRPr lang="en-US" sz="2000">
              <a:effectLst/>
              <a:latin typeface="Courier New" panose="02070309020205020404" pitchFamily="49" charset="0"/>
              <a:ea typeface="Times New Roman" panose="02020603050405020304" pitchFamily="18" charset="0"/>
              <a:cs typeface="Courier New" panose="02070309020205020404" pitchFamily="49" charset="0"/>
            </a:endParaRPr>
          </a:p>
        </xdr:txBody>
      </xdr:sp>
      <xdr:sp macro="" textlink="">
        <xdr:nvSpPr>
          <xdr:cNvPr id="218" name="نص_ وسيلة شرح الصيغة العلوية" descr="تُعيد الدالة TODAY تاريخ اليوم. يتم تحديثها تلقائياً عندما يعيد Excel الحساب.&#10;&#10;">
            <a:extLst>
              <a:ext uri="{FF2B5EF4-FFF2-40B4-BE49-F238E27FC236}">
                <a16:creationId xmlns:a16="http://schemas.microsoft.com/office/drawing/2014/main" id="{52549E0D-FD3F-475B-B881-0D180B27FDC0}"/>
              </a:ext>
            </a:extLst>
          </xdr:cNvPr>
          <xdr:cNvSpPr txBox="1">
            <a:spLocks noChangeArrowheads="1"/>
          </xdr:cNvSpPr>
        </xdr:nvSpPr>
        <xdr:spPr bwMode="auto">
          <a:xfrm flipH="1">
            <a:off x="1641303" y="11125201"/>
            <a:ext cx="2971800" cy="46672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ترجع الدالة </a:t>
            </a:r>
            <a:r>
              <a:rPr lang="ar" sz="1100" b="1">
                <a:effectLst/>
                <a:latin typeface="Tahoma" panose="020B0604030504040204" pitchFamily="34" charset="0"/>
                <a:ea typeface="Calibri" panose="020F0502020204030204" pitchFamily="34" charset="0"/>
                <a:cs typeface="Tahoma" panose="020B0604030504040204" pitchFamily="34" charset="0"/>
              </a:rPr>
              <a:t>TODAY</a:t>
            </a:r>
            <a:r>
              <a:rPr lang="ar" sz="1100">
                <a:effectLst/>
                <a:latin typeface="Tahoma" panose="020B0604030504040204" pitchFamily="34" charset="0"/>
                <a:ea typeface="Calibri" panose="020F0502020204030204" pitchFamily="34" charset="0"/>
                <a:cs typeface="Tahoma" panose="020B0604030504040204" pitchFamily="34" charset="0"/>
              </a:rPr>
              <a:t> تاريخ اليوم. سيتم تحديثها تلقائياً</a:t>
            </a:r>
            <a:r>
              <a:rPr lang="ar" sz="1100" baseline="0">
                <a:effectLst/>
                <a:latin typeface="Tahoma" panose="020B0604030504040204" pitchFamily="34" charset="0"/>
                <a:ea typeface="Calibri" panose="020F0502020204030204" pitchFamily="34" charset="0"/>
                <a:cs typeface="Tahoma" panose="020B0604030504040204" pitchFamily="34" charset="0"/>
              </a:rPr>
              <a:t> عندما يقوم Excel بإعادة الحساب.</a:t>
            </a:r>
            <a:endParaRPr lang="en-US" sz="1100">
              <a:effectLst/>
              <a:latin typeface="Tahoma" panose="020B0604030504040204" pitchFamily="34" charset="0"/>
              <a:ea typeface="Calibri" panose="020F0502020204030204" pitchFamily="34" charset="0"/>
              <a:cs typeface="Tahoma" panose="020B0604030504040204" pitchFamily="34" charset="0"/>
            </a:endParaRPr>
          </a:p>
        </xdr:txBody>
      </xdr:sp>
    </xdr:grpSp>
    <xdr:clientData/>
  </xdr:twoCellAnchor>
  <xdr:twoCellAnchor>
    <xdr:from>
      <xdr:col>0</xdr:col>
      <xdr:colOff>342900</xdr:colOff>
      <xdr:row>0</xdr:row>
      <xdr:rowOff>352424</xdr:rowOff>
    </xdr:from>
    <xdr:to>
      <xdr:col>1</xdr:col>
      <xdr:colOff>5229225</xdr:colOff>
      <xdr:row>21</xdr:row>
      <xdr:rowOff>149366</xdr:rowOff>
    </xdr:to>
    <xdr:grpSp>
      <xdr:nvGrpSpPr>
        <xdr:cNvPr id="232" name="مجموعة 231">
          <a:extLst>
            <a:ext uri="{FF2B5EF4-FFF2-40B4-BE49-F238E27FC236}">
              <a16:creationId xmlns:a16="http://schemas.microsoft.com/office/drawing/2014/main" id="{7A4FA281-7222-4655-A76E-27AE33A3FF1C}"/>
            </a:ext>
          </a:extLst>
        </xdr:cNvPr>
        <xdr:cNvGrpSpPr/>
      </xdr:nvGrpSpPr>
      <xdr:grpSpPr>
        <a:xfrm flipH="1">
          <a:off x="10924851150" y="352424"/>
          <a:ext cx="5848350" cy="4368942"/>
          <a:chOff x="323850" y="276224"/>
          <a:chExt cx="5734050" cy="4200525"/>
        </a:xfrm>
      </xdr:grpSpPr>
      <xdr:sp macro="" textlink="">
        <xdr:nvSpPr>
          <xdr:cNvPr id="233" name="نص_خلفية الجولة" descr="الخلفية">
            <a:extLst>
              <a:ext uri="{FF2B5EF4-FFF2-40B4-BE49-F238E27FC236}">
                <a16:creationId xmlns:a16="http://schemas.microsoft.com/office/drawing/2014/main" id="{2E503384-DBF5-4D47-BF12-EEAC0918D4AA}"/>
              </a:ext>
            </a:extLst>
          </xdr:cNvPr>
          <xdr:cNvSpPr/>
        </xdr:nvSpPr>
        <xdr:spPr>
          <a:xfrm flipH="1">
            <a:off x="323850" y="276224"/>
            <a:ext cx="5734050" cy="4200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34" name="نص_عنوان الجولة" descr="مقدمة حول الدالات">
            <a:extLst>
              <a:ext uri="{FF2B5EF4-FFF2-40B4-BE49-F238E27FC236}">
                <a16:creationId xmlns:a16="http://schemas.microsoft.com/office/drawing/2014/main" id="{7D4667CC-B735-408F-A1E4-6FA13B1FB7FB}"/>
              </a:ext>
            </a:extLst>
          </xdr:cNvPr>
          <xdr:cNvSpPr txBox="1"/>
        </xdr:nvSpPr>
        <xdr:spPr>
          <a:xfrm flipH="1">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مقدمة حول الدالات</a:t>
            </a:r>
          </a:p>
        </xdr:txBody>
      </xdr:sp>
      <xdr:cxnSp macro="">
        <xdr:nvCxnSpPr>
          <xdr:cNvPr id="235" name="نص_سطر الجولة 1" descr="سطر مزخرف">
            <a:extLst>
              <a:ext uri="{FF2B5EF4-FFF2-40B4-BE49-F238E27FC236}">
                <a16:creationId xmlns:a16="http://schemas.microsoft.com/office/drawing/2014/main" id="{B2C34DDE-3E39-4FB3-B22B-EE9DE303EF82}"/>
              </a:ext>
            </a:extLst>
          </xdr:cNvPr>
          <xdr:cNvCxnSpPr>
            <a:cxnSpLocks/>
          </xdr:cNvCxnSpPr>
        </xdr:nvCxnSpPr>
        <xdr:spPr>
          <a:xfrm flipH="1">
            <a:off x="536578" y="89718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نص_سطر الجولة 2" descr="سطر مزخرف">
            <a:extLst>
              <a:ext uri="{FF2B5EF4-FFF2-40B4-BE49-F238E27FC236}">
                <a16:creationId xmlns:a16="http://schemas.microsoft.com/office/drawing/2014/main" id="{EEEF91CB-D253-4B04-B06F-EF082C03A170}"/>
              </a:ext>
            </a:extLst>
          </xdr:cNvPr>
          <xdr:cNvCxnSpPr>
            <a:cxnSpLocks/>
          </xdr:cNvCxnSpPr>
        </xdr:nvCxnSpPr>
        <xdr:spPr>
          <a:xfrm flipH="1">
            <a:off x="536578" y="36978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نص_مقدمة الجولة" descr="تمنحك الدالات إمكانية القيام بمجموعة متنوعة من الأشياء، مثل إجراء عمليات حسابية أو البحث عن قيم أو حتى حساب التواريخ والأوقات. لنجرب بعض الطرق لإضافة القيم باستخدام الدالة SUM.&#10;">
            <a:extLst>
              <a:ext uri="{FF2B5EF4-FFF2-40B4-BE49-F238E27FC236}">
                <a16:creationId xmlns:a16="http://schemas.microsoft.com/office/drawing/2014/main" id="{D14E5F97-98FC-4309-B1F6-64DC7B7C29DE}"/>
              </a:ext>
            </a:extLst>
          </xdr:cNvPr>
          <xdr:cNvSpPr txBox="1"/>
        </xdr:nvSpPr>
        <xdr:spPr>
          <a:xfrm flipH="1">
            <a:off x="543088" y="976391"/>
            <a:ext cx="5251444" cy="618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تمنحك الدالات إمكانية القيام بمجموعة متنوعة من الأشياء، مثل إجراء عمليات حسابية أو البحث عن قيم أو حتى حساب التواريخ والأوقات. لنجرب بعض الطرق لإضافة القيم باستخدام </a:t>
            </a:r>
            <a:r>
              <a:rPr lang="ar"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SUM</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 الدالة.</a:t>
            </a:r>
          </a:p>
        </xdr:txBody>
      </xdr:sp>
      <xdr:grpSp>
        <xdr:nvGrpSpPr>
          <xdr:cNvPr id="238" name="مجموعة_الخطوات">
            <a:extLst>
              <a:ext uri="{FF2B5EF4-FFF2-40B4-BE49-F238E27FC236}">
                <a16:creationId xmlns:a16="http://schemas.microsoft.com/office/drawing/2014/main" id="{B0D2ED24-6683-4531-B8F5-0F2F4933BA4A}"/>
              </a:ext>
            </a:extLst>
          </xdr:cNvPr>
          <xdr:cNvGrpSpPr/>
        </xdr:nvGrpSpPr>
        <xdr:grpSpPr>
          <a:xfrm>
            <a:off x="542925" y="1638300"/>
            <a:ext cx="5295901" cy="577157"/>
            <a:chOff x="609600" y="7810500"/>
            <a:chExt cx="5261542" cy="577157"/>
          </a:xfrm>
        </xdr:grpSpPr>
        <xdr:sp macro="" textlink="">
          <xdr:nvSpPr>
            <xdr:cNvPr id="247" name="نص_ الخطوة" descr="ضمن العمود القيمة للفاكهة (الخلية D7)، قم بإدخال =SUM(D3:D6)، أو اكتب =SUM(، ثم حدد ذلك النطاق باستخدام الماوس، واضغط على مفتاح الإدخال Enter. سيتم جمع القيم في الخلايا D3 وD4 وD5 وD6. يجب أن تكون إجابتك 170.&#10;&#10;&#10;&#10;">
              <a:extLst>
                <a:ext uri="{FF2B5EF4-FFF2-40B4-BE49-F238E27FC236}">
                  <a16:creationId xmlns:a16="http://schemas.microsoft.com/office/drawing/2014/main" id="{810A5AB8-1BE7-4AA1-A49C-BD6D215DAFA4}"/>
                </a:ext>
              </a:extLst>
            </xdr:cNvPr>
            <xdr:cNvSpPr txBox="1"/>
          </xdr:nvSpPr>
          <xdr:spPr>
            <a:xfrm flipH="1">
              <a:off x="1017295" y="7833408"/>
              <a:ext cx="4853847"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ضمن العمود القيمة للفاكهة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D7</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قم بإدخال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=SUM(D3:D6)</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أو اكتب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=SUM(</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ثم حدد ذلك النطاق باستخدام الماوس، واضغط على مفتاح الإدخال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Enter</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سيتم جمع القيم في الخلايا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D3</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D4</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D5</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D6</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يجب أن تكون الإجابة 170.</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248" name="شكل_الخطوة" descr="1">
              <a:extLst>
                <a:ext uri="{FF2B5EF4-FFF2-40B4-BE49-F238E27FC236}">
                  <a16:creationId xmlns:a16="http://schemas.microsoft.com/office/drawing/2014/main" id="{F2FD6D3D-CB42-4E79-8228-3477BE73DC88}"/>
                </a:ext>
              </a:extLst>
            </xdr:cNvPr>
            <xdr:cNvSpPr/>
          </xdr:nvSpPr>
          <xdr:spPr>
            <a:xfrm flipH="1">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239" name="مجموعة_الخطوات">
            <a:extLst>
              <a:ext uri="{FF2B5EF4-FFF2-40B4-BE49-F238E27FC236}">
                <a16:creationId xmlns:a16="http://schemas.microsoft.com/office/drawing/2014/main" id="{D760DDB7-6B91-4E00-B2BE-F1BD6817C42A}"/>
              </a:ext>
            </a:extLst>
          </xdr:cNvPr>
          <xdr:cNvGrpSpPr/>
        </xdr:nvGrpSpPr>
        <xdr:grpSpPr>
          <a:xfrm>
            <a:off x="542925" y="2262188"/>
            <a:ext cx="5220101" cy="898752"/>
            <a:chOff x="609600" y="7896225"/>
            <a:chExt cx="5186234" cy="898752"/>
          </a:xfrm>
        </xdr:grpSpPr>
        <xdr:sp macro="" textlink="">
          <xdr:nvSpPr>
            <xdr:cNvPr id="245" name="نص_ الخطوة" descr="والآن دعنا نجرب الجمع التلقائي. حدد الخلية الصفراء الموجودة ضمن العمود للحوم (الخلية G7)، ثم انتقل إلى الصيغ &gt; جمع تلقائي &gt; تحديد الدالة SUM. سترى Excel يقوم بإدخال الصيغة تلقائياً نيابة عنك. اضغط على الزر Enter للتأكيد عليها. تحتوي ميزة &quot;جمع تلقائي&quot; على جميع الدالات الأكثر شيوعاً.&#10;&#10;">
              <a:extLst>
                <a:ext uri="{FF2B5EF4-FFF2-40B4-BE49-F238E27FC236}">
                  <a16:creationId xmlns:a16="http://schemas.microsoft.com/office/drawing/2014/main" id="{C6CA8983-E35C-4984-9B4D-732042B193D4}"/>
                </a:ext>
              </a:extLst>
            </xdr:cNvPr>
            <xdr:cNvSpPr txBox="1"/>
          </xdr:nvSpPr>
          <xdr:spPr>
            <a:xfrm flipH="1">
              <a:off x="1017295" y="7938183"/>
              <a:ext cx="4778539" cy="856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والآن لنجرب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الجمع التلقائي</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حدد الخلية الصفراء الموجودة ضمن العمود للحوم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G7</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ثم انتقل إلى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الصيغ</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&gt;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جمع تلقائي</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&gt; تحديد الدالة </a:t>
              </a:r>
              <a:r>
                <a:rPr lang="ar-SA"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المجموع</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سترى Excel يقوم بإدخال الصيغة تلقائياً نيابة عنك. اضغط على مفتاح الإدخال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Enter</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لتأكيد الأمر. تحتوي ميزة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الجمع التلقائي</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على كافة الدالات الأكثر شيوعاً.</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246" name="شكل_الخطوة" descr="2">
              <a:extLst>
                <a:ext uri="{FF2B5EF4-FFF2-40B4-BE49-F238E27FC236}">
                  <a16:creationId xmlns:a16="http://schemas.microsoft.com/office/drawing/2014/main" id="{09967B0C-29E8-4781-A6FA-F5CB00C8AEBC}"/>
                </a:ext>
              </a:extLst>
            </xdr:cNvPr>
            <xdr:cNvSpPr/>
          </xdr:nvSpPr>
          <xdr:spPr>
            <a:xfrm flipH="1">
              <a:off x="609600" y="789622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nvGrpSpPr>
          <xdr:cNvPr id="240" name="مجموعة 239">
            <a:extLst>
              <a:ext uri="{FF2B5EF4-FFF2-40B4-BE49-F238E27FC236}">
                <a16:creationId xmlns:a16="http://schemas.microsoft.com/office/drawing/2014/main" id="{DCC331A5-B81B-407D-A604-3A6691EE3721}"/>
              </a:ext>
            </a:extLst>
          </xdr:cNvPr>
          <xdr:cNvGrpSpPr/>
        </xdr:nvGrpSpPr>
        <xdr:grpSpPr>
          <a:xfrm>
            <a:off x="542925" y="3143250"/>
            <a:ext cx="5309521" cy="601091"/>
            <a:chOff x="561975" y="2952750"/>
            <a:chExt cx="5309521" cy="601091"/>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flipH="1">
              <a:off x="561975" y="2952750"/>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sp macro="" textlink="">
          <xdr:nvSpPr>
            <xdr:cNvPr id="242" name="الخطوة" descr="فيما يلي اختصار لوحة مفاتيح منظمة. حدد الخلية D15، ثم اضغط على المفتاح Alt = ثم Enter. يتم إدخال SUM تلقائياً بالنيابة عنك.&#10;">
              <a:extLst>
                <a:ext uri="{FF2B5EF4-FFF2-40B4-BE49-F238E27FC236}">
                  <a16:creationId xmlns:a16="http://schemas.microsoft.com/office/drawing/2014/main" id="{560D1E18-37A7-48F2-AA0C-0AF6088AF0AB}"/>
                </a:ext>
              </a:extLst>
            </xdr:cNvPr>
            <xdr:cNvSpPr txBox="1"/>
          </xdr:nvSpPr>
          <xdr:spPr>
            <a:xfrm flipH="1">
              <a:off x="987453" y="2998240"/>
              <a:ext cx="4884043" cy="5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فيما يلي اختصار لوحة مفاتيح منظمة. حدد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D15</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ثم اضغط على 	   بعد ذلك، مفتاح الإدخال</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Enter</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يتم إدخال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SUM</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تلقائياً بالنيابة عنك.</a:t>
              </a:r>
            </a:p>
          </xdr:txBody>
        </xdr:sp>
        <xdr:sp macro="" textlink="">
          <xdr:nvSpPr>
            <xdr:cNvPr id="243" name="مفتاح يساوي" descr="مفتاح يساوي">
              <a:extLst>
                <a:ext uri="{FF2B5EF4-FFF2-40B4-BE49-F238E27FC236}">
                  <a16:creationId xmlns:a16="http://schemas.microsoft.com/office/drawing/2014/main" id="{CF33041B-BB98-41EE-BDDE-38D58DF9865E}"/>
                </a:ext>
              </a:extLst>
            </xdr:cNvPr>
            <xdr:cNvSpPr/>
          </xdr:nvSpPr>
          <xdr:spPr>
            <a:xfrm flipH="1">
              <a:off x="5420086" y="3029579"/>
              <a:ext cx="376593"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000">
                  <a:solidFill>
                    <a:schemeClr val="tx1"/>
                  </a:solidFill>
                  <a:latin typeface="Tahoma" panose="020B0604030504040204" pitchFamily="34" charset="0"/>
                  <a:cs typeface="Tahoma" panose="020B0604030504040204" pitchFamily="34" charset="0"/>
                </a:rPr>
                <a:t>=</a:t>
              </a:r>
              <a:endParaRPr lang="en-US" sz="900">
                <a:solidFill>
                  <a:schemeClr val="tx1"/>
                </a:solidFill>
                <a:latin typeface="Tahoma" panose="020B0604030504040204" pitchFamily="34" charset="0"/>
                <a:cs typeface="Tahoma" panose="020B0604030504040204" pitchFamily="34" charset="0"/>
              </a:endParaRPr>
            </a:p>
          </xdr:txBody>
        </xdr:sp>
        <xdr:sp macro="" textlink="">
          <xdr:nvSpPr>
            <xdr:cNvPr id="244" name="مفتاح Alt" descr="مفتاح Alt">
              <a:extLst>
                <a:ext uri="{FF2B5EF4-FFF2-40B4-BE49-F238E27FC236}">
                  <a16:creationId xmlns:a16="http://schemas.microsoft.com/office/drawing/2014/main" id="{0BFE17A4-7B91-43C3-90BB-12A4D5132A91}"/>
                </a:ext>
              </a:extLst>
            </xdr:cNvPr>
            <xdr:cNvSpPr/>
          </xdr:nvSpPr>
          <xdr:spPr>
            <a:xfrm flipH="1">
              <a:off x="5021658" y="3029579"/>
              <a:ext cx="376593"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900" spc="100" baseline="0">
                  <a:solidFill>
                    <a:schemeClr val="tx1"/>
                  </a:solidFill>
                  <a:latin typeface="Tahoma" panose="020B0604030504040204" pitchFamily="34" charset="0"/>
                  <a:cs typeface="Tahoma" panose="020B0604030504040204" pitchFamily="34" charset="0"/>
                </a:rPr>
                <a:t>Alt</a:t>
              </a:r>
              <a:endParaRPr lang="en-US" sz="800" spc="100" baseline="0">
                <a:solidFill>
                  <a:schemeClr val="tx1"/>
                </a:solidFill>
                <a:latin typeface="Tahoma" panose="020B0604030504040204" pitchFamily="34" charset="0"/>
                <a:cs typeface="Tahoma" panose="020B0604030504040204" pitchFamily="34" charset="0"/>
              </a:endParaRPr>
            </a:p>
          </xdr:txBody>
        </xdr:sp>
      </xdr:grpSp>
    </xdr:grpSp>
    <xdr:clientData/>
  </xdr:twoCellAnchor>
  <xdr:twoCellAnchor>
    <xdr:from>
      <xdr:col>0</xdr:col>
      <xdr:colOff>647700</xdr:colOff>
      <xdr:row>18</xdr:row>
      <xdr:rowOff>85726</xdr:rowOff>
    </xdr:from>
    <xdr:to>
      <xdr:col>1</xdr:col>
      <xdr:colOff>2523042</xdr:colOff>
      <xdr:row>21</xdr:row>
      <xdr:rowOff>45150</xdr:rowOff>
    </xdr:to>
    <xdr:sp macro="" textlink="">
      <xdr:nvSpPr>
        <xdr:cNvPr id="249" name="زر المزيد من التفاصيل" descr="انتقل إلى الأسفل لمزيد من التفاصيل">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flipH="1">
          <a:off x="647700" y="40862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انتقل إلى الأسفل لمزيد من التفاصيل</a:t>
          </a:r>
        </a:p>
      </xdr:txBody>
    </xdr:sp>
    <xdr:clientData/>
  </xdr:twoCellAnchor>
  <xdr:twoCellAnchor>
    <xdr:from>
      <xdr:col>1</xdr:col>
      <xdr:colOff>3710151</xdr:colOff>
      <xdr:row>18</xdr:row>
      <xdr:rowOff>85726</xdr:rowOff>
    </xdr:from>
    <xdr:to>
      <xdr:col>1</xdr:col>
      <xdr:colOff>5013351</xdr:colOff>
      <xdr:row>20</xdr:row>
      <xdr:rowOff>49625</xdr:rowOff>
    </xdr:to>
    <xdr:sp macro="" textlink="">
      <xdr:nvSpPr>
        <xdr:cNvPr id="250" name="زر &quot;التالي&quot;" descr="زر &quot;الخطوة التالية&quot;، الارتباط التشعبي إلى الورقة التالية">
          <a:hlinkClick xmlns:r="http://schemas.openxmlformats.org/officeDocument/2006/relationships" r:id="rId2" tooltip="انقر هنا للتقدم إلى ورقة العمل التالية"/>
          <a:extLst>
            <a:ext uri="{FF2B5EF4-FFF2-40B4-BE49-F238E27FC236}">
              <a16:creationId xmlns:a16="http://schemas.microsoft.com/office/drawing/2014/main" id="{08AAD723-1A75-444B-BF90-661FB4EE2F13}"/>
            </a:ext>
          </a:extLst>
        </xdr:cNvPr>
        <xdr:cNvSpPr/>
      </xdr:nvSpPr>
      <xdr:spPr>
        <a:xfrm flipH="1">
          <a:off x="10925067024" y="4086226"/>
          <a:ext cx="1303200"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الخطوة التالية</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666752</xdr:colOff>
      <xdr:row>15</xdr:row>
      <xdr:rowOff>9525</xdr:rowOff>
    </xdr:from>
    <xdr:to>
      <xdr:col>9</xdr:col>
      <xdr:colOff>514350</xdr:colOff>
      <xdr:row>24</xdr:row>
      <xdr:rowOff>123825</xdr:rowOff>
    </xdr:to>
    <xdr:grpSp>
      <xdr:nvGrpSpPr>
        <xdr:cNvPr id="50" name="المجموعة 49" descr="EXTRA CREDIT&#10;Try adding another SUMIF formula here, but add amounts that are less than 100. The result should be 160&#10;">
          <a:extLst>
            <a:ext uri="{FF2B5EF4-FFF2-40B4-BE49-F238E27FC236}">
              <a16:creationId xmlns:a16="http://schemas.microsoft.com/office/drawing/2014/main" id="{43A9A155-5F39-462E-9668-46F47F332723}"/>
            </a:ext>
          </a:extLst>
        </xdr:cNvPr>
        <xdr:cNvGrpSpPr/>
      </xdr:nvGrpSpPr>
      <xdr:grpSpPr>
        <a:xfrm flipH="1">
          <a:off x="10917516900" y="3438525"/>
          <a:ext cx="3200398" cy="1828800"/>
          <a:chOff x="9048750" y="3743325"/>
          <a:chExt cx="2909468" cy="1828800"/>
        </a:xfrm>
      </xdr:grpSpPr>
      <xdr:sp macro="" textlink="">
        <xdr:nvSpPr>
          <xdr:cNvPr id="51" name="الخطوة" descr="EXTRA CREDIT&#10;Try adding your own AVERAGE or COUNT function here by typing it by hand. If you look closely, you'll see Excel's intellisense try to help you.&#10;">
            <a:extLst>
              <a:ext uri="{FF2B5EF4-FFF2-40B4-BE49-F238E27FC236}">
                <a16:creationId xmlns:a16="http://schemas.microsoft.com/office/drawing/2014/main" id="{C7598491-5930-49C3-AC46-AC4F3207CA92}"/>
              </a:ext>
            </a:extLst>
          </xdr:cNvPr>
          <xdr:cNvSpPr txBox="1"/>
        </xdr:nvSpPr>
        <xdr:spPr>
          <a:xfrm flipH="1">
            <a:off x="9648642" y="3905249"/>
            <a:ext cx="2309576" cy="1666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معلومة إضافية</a:t>
            </a:r>
          </a:p>
          <a:p>
            <a:pPr lvl="0" algn="r" rtl="1">
              <a:defRPr/>
            </a:pPr>
            <a:r>
              <a:rPr lang="ar" sz="1100">
                <a:latin typeface="Tahoma" panose="020B0604030504040204" pitchFamily="34" charset="0"/>
                <a:ea typeface="Tahoma" panose="020B0604030504040204" pitchFamily="34" charset="0"/>
                <a:cs typeface="Tahoma" panose="020B0604030504040204" pitchFamily="34" charset="0"/>
              </a:rPr>
              <a:t>جرّب استخدام</a:t>
            </a:r>
            <a:r>
              <a:rPr lang="ar" sz="1100" baseline="0">
                <a:latin typeface="Tahoma" panose="020B0604030504040204" pitchFamily="34" charset="0"/>
                <a:ea typeface="Tahoma" panose="020B0604030504040204" pitchFamily="34" charset="0"/>
                <a:cs typeface="Tahoma" panose="020B0604030504040204" pitchFamily="34" charset="0"/>
              </a:rPr>
              <a:t> </a:t>
            </a:r>
            <a:r>
              <a:rPr lang="ar" sz="1100" b="1">
                <a:latin typeface="Tahoma" panose="020B0604030504040204" pitchFamily="34" charset="0"/>
                <a:ea typeface="Tahoma" panose="020B0604030504040204" pitchFamily="34" charset="0"/>
                <a:cs typeface="Tahoma" panose="020B0604030504040204" pitchFamily="34" charset="0"/>
              </a:rPr>
              <a:t> MEDIAN </a:t>
            </a:r>
            <a:r>
              <a:rPr lang="ar" sz="1100" b="0">
                <a:latin typeface="Tahoma" panose="020B0604030504040204" pitchFamily="34" charset="0"/>
                <a:ea typeface="Tahoma" panose="020B0604030504040204" pitchFamily="34" charset="0"/>
                <a:cs typeface="Tahoma" panose="020B0604030504040204" pitchFamily="34" charset="0"/>
              </a:rPr>
              <a:t>أو</a:t>
            </a:r>
            <a:r>
              <a:rPr lang="ar" sz="1100" b="1">
                <a:latin typeface="Tahoma" panose="020B0604030504040204" pitchFamily="34" charset="0"/>
                <a:ea typeface="Tahoma" panose="020B0604030504040204" pitchFamily="34" charset="0"/>
                <a:cs typeface="Tahoma" panose="020B0604030504040204" pitchFamily="34" charset="0"/>
              </a:rPr>
              <a:t> MODE</a:t>
            </a:r>
            <a:r>
              <a:rPr lang="ar" sz="1100">
                <a:latin typeface="Tahoma" panose="020B0604030504040204" pitchFamily="34" charset="0"/>
                <a:ea typeface="Tahoma" panose="020B0604030504040204" pitchFamily="34" charset="0"/>
                <a:cs typeface="Tahoma" panose="020B0604030504040204" pitchFamily="34" charset="0"/>
              </a:rPr>
              <a:t> هنا.</a:t>
            </a:r>
            <a:r>
              <a:rPr lang="ar" sz="1100" baseline="0">
                <a:latin typeface="Tahoma" panose="020B0604030504040204" pitchFamily="34" charset="0"/>
                <a:ea typeface="Tahoma" panose="020B0604030504040204" pitchFamily="34" charset="0"/>
                <a:cs typeface="Tahoma" panose="020B0604030504040204" pitchFamily="34" charset="0"/>
              </a:rPr>
              <a:t> </a:t>
            </a:r>
          </a:p>
          <a:p>
            <a:pPr lvl="0" algn="r" rtl="1">
              <a:defRPr/>
            </a:pPr>
            <a:endParaRPr lang="en-US" sz="1100" baseline="0">
              <a:latin typeface="Tahoma" panose="020B0604030504040204" pitchFamily="34" charset="0"/>
              <a:ea typeface="Tahoma" panose="020B0604030504040204" pitchFamily="34" charset="0"/>
              <a:cs typeface="Tahoma" panose="020B0604030504040204" pitchFamily="34" charset="0"/>
            </a:endParaRPr>
          </a:p>
          <a:p>
            <a:pPr lvl="0" algn="r" rtl="1">
              <a:defRPr/>
            </a:pPr>
            <a:r>
              <a:rPr lang="ar" sz="1100" b="1" baseline="0">
                <a:latin typeface="Tahoma" panose="020B0604030504040204" pitchFamily="34" charset="0"/>
                <a:ea typeface="Tahoma" panose="020B0604030504040204" pitchFamily="34" charset="0"/>
                <a:cs typeface="Tahoma" panose="020B0604030504040204" pitchFamily="34" charset="0"/>
              </a:rPr>
              <a:t>MEDIAN</a:t>
            </a:r>
            <a:r>
              <a:rPr lang="ar" sz="1100" baseline="0">
                <a:latin typeface="Tahoma" panose="020B0604030504040204" pitchFamily="34" charset="0"/>
                <a:ea typeface="Tahoma" panose="020B0604030504040204" pitchFamily="34" charset="0"/>
                <a:cs typeface="Tahoma" panose="020B0604030504040204" pitchFamily="34" charset="0"/>
              </a:rPr>
              <a:t> يقدم لك القيمة الموجودة في الجزء الأوسط من مجموعة البيانات، بينما </a:t>
            </a:r>
          </a:p>
          <a:p>
            <a:pPr lvl="0" algn="r" rtl="1">
              <a:defRPr/>
            </a:pPr>
            <a:r>
              <a:rPr lang="ar" sz="1100" b="1" baseline="0">
                <a:latin typeface="Tahoma" panose="020B0604030504040204" pitchFamily="34" charset="0"/>
                <a:ea typeface="Tahoma" panose="020B0604030504040204" pitchFamily="34" charset="0"/>
                <a:cs typeface="Tahoma" panose="020B0604030504040204" pitchFamily="34" charset="0"/>
              </a:rPr>
              <a:t>MODE</a:t>
            </a:r>
            <a:r>
              <a:rPr lang="ar" sz="1100" baseline="0">
                <a:latin typeface="Tahoma" panose="020B0604030504040204" pitchFamily="34" charset="0"/>
                <a:ea typeface="Tahoma" panose="020B0604030504040204" pitchFamily="34" charset="0"/>
                <a:cs typeface="Tahoma" panose="020B0604030504040204" pitchFamily="34" charset="0"/>
              </a:rPr>
              <a:t> يقدم لك الخيار الأكثر حدوثاً.</a:t>
            </a:r>
            <a:endParaRPr lang="en-US" sz="1100">
              <a:latin typeface="Tahoma" panose="020B0604030504040204" pitchFamily="34" charset="0"/>
              <a:ea typeface="Tahoma" panose="020B0604030504040204" pitchFamily="34" charset="0"/>
              <a:cs typeface="Tahoma" panose="020B0604030504040204" pitchFamily="34" charset="0"/>
            </a:endParaRPr>
          </a:p>
        </xdr:txBody>
      </xdr:sp>
      <xdr:pic>
        <xdr:nvPicPr>
          <xdr:cNvPr id="52" name="شريط معلومة إضافية" descr="شريط مزخرف">
            <a:extLst>
              <a:ext uri="{FF2B5EF4-FFF2-40B4-BE49-F238E27FC236}">
                <a16:creationId xmlns:a16="http://schemas.microsoft.com/office/drawing/2014/main" id="{63D71461-4F6F-45F1-9548-9DA4EB80A9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flipH="1">
            <a:off x="9287099" y="3950551"/>
            <a:ext cx="474289" cy="439736"/>
          </a:xfrm>
          <a:prstGeom prst="rect">
            <a:avLst/>
          </a:prstGeom>
        </xdr:spPr>
      </xdr:pic>
      <xdr:sp macro="" textlink="">
        <xdr:nvSpPr>
          <xdr:cNvPr id="53" name="سهم نقاط إضافية" descr="سهم">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1" anchor="t"/>
          <a:lstStyle/>
          <a:p>
            <a:pPr algn="l" rtl="1"/>
            <a:endParaRPr lang="en-US" sz="1100"/>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الزر_السابق" descr="الرجوع إلى الورقة السابقة">
          <a:hlinkClick xmlns:r="http://schemas.openxmlformats.org/officeDocument/2006/relationships" r:id="rId3" tooltip="انقر هنا للعودة إلى الورقة السابقة"/>
          <a:extLst>
            <a:ext uri="{FF2B5EF4-FFF2-40B4-BE49-F238E27FC236}">
              <a16:creationId xmlns:a16="http://schemas.microsoft.com/office/drawing/2014/main" id="{EE1A025E-E5F5-42C2-A923-F18079A2D0C2}"/>
            </a:ext>
          </a:extLst>
        </xdr:cNvPr>
        <xdr:cNvSpPr/>
      </xdr:nvSpPr>
      <xdr:spPr>
        <a:xfrm>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الزر_التالي" descr="التقدم إلى الورقة التالية">
          <a:hlinkClick xmlns:r="http://schemas.openxmlformats.org/officeDocument/2006/relationships" r:id="rId4" tooltip="انقر هنا للتقدم إلى ورقة العمل التالية"/>
          <a:extLst>
            <a:ext uri="{FF2B5EF4-FFF2-40B4-BE49-F238E27FC236}">
              <a16:creationId xmlns:a16="http://schemas.microsoft.com/office/drawing/2014/main" id="{B719355D-8104-483A-8DA4-D2E87460A898}"/>
            </a:ext>
          </a:extLst>
        </xdr:cNvPr>
        <xdr:cNvSpPr/>
      </xdr:nvSpPr>
      <xdr:spPr>
        <a:xfrm flipH="1">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xdr:twoCellAnchor>
  <xdr:twoCellAnchor>
    <xdr:from>
      <xdr:col>0</xdr:col>
      <xdr:colOff>323850</xdr:colOff>
      <xdr:row>16</xdr:row>
      <xdr:rowOff>161926</xdr:rowOff>
    </xdr:from>
    <xdr:to>
      <xdr:col>1</xdr:col>
      <xdr:colOff>5172075</xdr:colOff>
      <xdr:row>29</xdr:row>
      <xdr:rowOff>85725</xdr:rowOff>
    </xdr:to>
    <xdr:grpSp>
      <xdr:nvGrpSpPr>
        <xdr:cNvPr id="3" name="المجموعة 2">
          <a:extLst>
            <a:ext uri="{FF2B5EF4-FFF2-40B4-BE49-F238E27FC236}">
              <a16:creationId xmlns:a16="http://schemas.microsoft.com/office/drawing/2014/main" id="{34477964-9438-41C6-89D0-AF7334519BC2}"/>
            </a:ext>
          </a:extLst>
        </xdr:cNvPr>
        <xdr:cNvGrpSpPr/>
      </xdr:nvGrpSpPr>
      <xdr:grpSpPr>
        <a:xfrm flipH="1">
          <a:off x="10924708275" y="3781426"/>
          <a:ext cx="5810250" cy="2381249"/>
          <a:chOff x="323850" y="3781426"/>
          <a:chExt cx="5695950" cy="2400299"/>
        </a:xfrm>
      </xdr:grpSpPr>
      <xdr:sp macro="" textlink="">
        <xdr:nvSpPr>
          <xdr:cNvPr id="62" name="مستطيل 61">
            <a:extLst>
              <a:ext uri="{FF2B5EF4-FFF2-40B4-BE49-F238E27FC236}">
                <a16:creationId xmlns:a16="http://schemas.microsoft.com/office/drawing/2014/main" id="{7125C27C-4C9D-4FC4-9FD6-9CD3DE78B720}"/>
              </a:ext>
            </a:extLst>
          </xdr:cNvPr>
          <xdr:cNvSpPr/>
        </xdr:nvSpPr>
        <xdr:spPr>
          <a:xfrm flipH="1">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63" name="الخطوة" descr="المزيد من المعلومات على الويب&#10;">
            <a:extLst>
              <a:ext uri="{FF2B5EF4-FFF2-40B4-BE49-F238E27FC236}">
                <a16:creationId xmlns:a16="http://schemas.microsoft.com/office/drawing/2014/main" id="{0FB0039E-A122-4A42-81FA-0F5978D304F5}"/>
              </a:ext>
            </a:extLst>
          </xdr:cNvPr>
          <xdr:cNvSpPr txBox="1"/>
        </xdr:nvSpPr>
        <xdr:spPr>
          <a:xfrm flipH="1">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64" name="موصل مستقيم 63" descr="سطر مزخرف">
            <a:extLst>
              <a:ext uri="{FF2B5EF4-FFF2-40B4-BE49-F238E27FC236}">
                <a16:creationId xmlns:a16="http://schemas.microsoft.com/office/drawing/2014/main" id="{78F5D1BC-989A-47DA-B5D1-2BEA7D8D2D8A}"/>
              </a:ext>
            </a:extLst>
          </xdr:cNvPr>
          <xdr:cNvCxnSpPr>
            <a:cxnSpLocks/>
          </xdr:cNvCxnSpPr>
        </xdr:nvCxnSpPr>
        <xdr:spPr>
          <a:xfrm flipH="1">
            <a:off x="557084" y="43271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موصل مستقيم 64" descr="سطر مزخرف">
            <a:extLst>
              <a:ext uri="{FF2B5EF4-FFF2-40B4-BE49-F238E27FC236}">
                <a16:creationId xmlns:a16="http://schemas.microsoft.com/office/drawing/2014/main" id="{92AA8791-8905-41A1-9A28-1540446DB53D}"/>
              </a:ext>
            </a:extLst>
          </xdr:cNvPr>
          <xdr:cNvCxnSpPr>
            <a:cxnSpLocks/>
          </xdr:cNvCxnSpPr>
        </xdr:nvCxnSpPr>
        <xdr:spPr>
          <a:xfrm flipH="1">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19</xdr:row>
      <xdr:rowOff>140419</xdr:rowOff>
    </xdr:from>
    <xdr:to>
      <xdr:col>1</xdr:col>
      <xdr:colOff>2552700</xdr:colOff>
      <xdr:row>21</xdr:row>
      <xdr:rowOff>118498</xdr:rowOff>
    </xdr:to>
    <xdr:grpSp>
      <xdr:nvGrpSpPr>
        <xdr:cNvPr id="4" name="المجموعة 3">
          <a:extLst>
            <a:ext uri="{FF2B5EF4-FFF2-40B4-BE49-F238E27FC236}">
              <a16:creationId xmlns:a16="http://schemas.microsoft.com/office/drawing/2014/main" id="{2A2F1EF0-54C4-4E96-96D9-0F415372CF05}"/>
            </a:ext>
          </a:extLst>
        </xdr:cNvPr>
        <xdr:cNvGrpSpPr/>
      </xdr:nvGrpSpPr>
      <xdr:grpSpPr>
        <a:xfrm flipH="1">
          <a:off x="10927327650" y="4331419"/>
          <a:ext cx="2980894" cy="359079"/>
          <a:chOff x="533831" y="4331419"/>
          <a:chExt cx="2866594" cy="359079"/>
        </a:xfrm>
      </xdr:grpSpPr>
      <xdr:sp macro="" textlink="">
        <xdr:nvSpPr>
          <xdr:cNvPr id="66" name="الخطوة" descr="جميع المعلومات حول الدالة AVERAGE، مرتبط ارتباطاً تشعبياً إلى الويب&#10;&#10;">
            <a:hlinkClick xmlns:r="http://schemas.openxmlformats.org/officeDocument/2006/relationships" r:id="rId5" tooltip="حدد للتعرف على جميع المعلومات حول الدالة AVERAGE من الويب"/>
            <a:extLst>
              <a:ext uri="{FF2B5EF4-FFF2-40B4-BE49-F238E27FC236}">
                <a16:creationId xmlns:a16="http://schemas.microsoft.com/office/drawing/2014/main" id="{8B6EBA78-A2A3-48B8-B201-71B7C5D097B9}"/>
              </a:ext>
            </a:extLst>
          </xdr:cNvPr>
          <xdr:cNvSpPr txBox="1"/>
        </xdr:nvSpPr>
        <xdr:spPr>
          <a:xfrm flipH="1">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a:t>
            </a:r>
            <a: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AVERAGE</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pic>
        <xdr:nvPicPr>
          <xdr:cNvPr id="67" name="الرسم 22" descr="سهم">
            <a:hlinkClick xmlns:r="http://schemas.openxmlformats.org/officeDocument/2006/relationships" r:id="rId5" tooltip="حدد للتعرّف على المزيد من الويب"/>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21</xdr:row>
      <xdr:rowOff>133860</xdr:rowOff>
    </xdr:from>
    <xdr:to>
      <xdr:col>1</xdr:col>
      <xdr:colOff>2581275</xdr:colOff>
      <xdr:row>23</xdr:row>
      <xdr:rowOff>117249</xdr:rowOff>
    </xdr:to>
    <xdr:grpSp>
      <xdr:nvGrpSpPr>
        <xdr:cNvPr id="5" name="المجموعة 4">
          <a:extLst>
            <a:ext uri="{FF2B5EF4-FFF2-40B4-BE49-F238E27FC236}">
              <a16:creationId xmlns:a16="http://schemas.microsoft.com/office/drawing/2014/main" id="{8070DC97-C65B-4D56-B70E-5A742EA38D3C}"/>
            </a:ext>
          </a:extLst>
        </xdr:cNvPr>
        <xdr:cNvGrpSpPr/>
      </xdr:nvGrpSpPr>
      <xdr:grpSpPr>
        <a:xfrm flipH="1">
          <a:off x="10927299075" y="4705860"/>
          <a:ext cx="3009469" cy="364389"/>
          <a:chOff x="533831" y="4705860"/>
          <a:chExt cx="2895169" cy="364389"/>
        </a:xfrm>
      </xdr:grpSpPr>
      <xdr:sp macro="" textlink="">
        <xdr:nvSpPr>
          <xdr:cNvPr id="68" name="الخطوة" descr="جميع المعلومات حول الدالة COUNT، مرتبط ارتباطاً تشعبياً إلى الويب&#10;">
            <a:hlinkClick xmlns:r="http://schemas.openxmlformats.org/officeDocument/2006/relationships" r:id="rId8" tooltip="حدد للتعرف على جميع المعلومات حول الدالة MEDIAN على الويب"/>
            <a:extLst>
              <a:ext uri="{FF2B5EF4-FFF2-40B4-BE49-F238E27FC236}">
                <a16:creationId xmlns:a16="http://schemas.microsoft.com/office/drawing/2014/main" id="{BA81DE9B-3E7D-4972-B9DA-B32D9B84A7B0}"/>
              </a:ext>
            </a:extLst>
          </xdr:cNvPr>
          <xdr:cNvSpPr txBox="1"/>
        </xdr:nvSpPr>
        <xdr:spPr>
          <a:xfrm flipH="1">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MEDIAN</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pic>
        <xdr:nvPicPr>
          <xdr:cNvPr id="69" name="الرسم 22" descr="سهم">
            <a:hlinkClick xmlns:r="http://schemas.openxmlformats.org/officeDocument/2006/relationships" r:id="rId8" tooltip="حدد للتعرّف على المزيد من الويب"/>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23</xdr:row>
      <xdr:rowOff>147523</xdr:rowOff>
    </xdr:from>
    <xdr:to>
      <xdr:col>1</xdr:col>
      <xdr:colOff>2657474</xdr:colOff>
      <xdr:row>25</xdr:row>
      <xdr:rowOff>125602</xdr:rowOff>
    </xdr:to>
    <xdr:grpSp>
      <xdr:nvGrpSpPr>
        <xdr:cNvPr id="6" name="المجموعة 5">
          <a:extLst>
            <a:ext uri="{FF2B5EF4-FFF2-40B4-BE49-F238E27FC236}">
              <a16:creationId xmlns:a16="http://schemas.microsoft.com/office/drawing/2014/main" id="{3CA2605E-542A-4852-9719-D7B97D165AA8}"/>
            </a:ext>
          </a:extLst>
        </xdr:cNvPr>
        <xdr:cNvGrpSpPr/>
      </xdr:nvGrpSpPr>
      <xdr:grpSpPr>
        <a:xfrm flipH="1">
          <a:off x="10927222876" y="5100523"/>
          <a:ext cx="3085668" cy="359079"/>
          <a:chOff x="533831" y="5100523"/>
          <a:chExt cx="2949159" cy="359079"/>
        </a:xfrm>
      </xdr:grpSpPr>
      <xdr:sp macro="" textlink="">
        <xdr:nvSpPr>
          <xdr:cNvPr id="70" name="الخطوة" descr="استخدام Excel كحاسبتك الشخصية، مرتبط ارتباطاً تشعبياً إلى الويب&#10;">
            <a:hlinkClick xmlns:r="http://schemas.openxmlformats.org/officeDocument/2006/relationships" r:id="rId9" tooltip="حدد للتعرف على جميع المعلومات حول الدالة MODE على الويب"/>
            <a:extLst>
              <a:ext uri="{FF2B5EF4-FFF2-40B4-BE49-F238E27FC236}">
                <a16:creationId xmlns:a16="http://schemas.microsoft.com/office/drawing/2014/main" id="{D8C06581-85B1-48B2-9903-8FE135F6657E}"/>
              </a:ext>
            </a:extLst>
          </xdr:cNvPr>
          <xdr:cNvSpPr txBox="1"/>
        </xdr:nvSpPr>
        <xdr:spPr>
          <a:xfrm flipH="1">
            <a:off x="999015" y="5196474"/>
            <a:ext cx="2483975"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الدالة</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MODE</a:t>
            </a:r>
            <a:r>
              <a:rPr lang="en-US"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p>
        </xdr:txBody>
      </xdr:sp>
      <xdr:pic>
        <xdr:nvPicPr>
          <xdr:cNvPr id="71" name="الرسم 70" descr="سهم">
            <a:hlinkClick xmlns:r="http://schemas.openxmlformats.org/officeDocument/2006/relationships" r:id="rId9" tooltip="حدد للتعرّف على المزيد من الويب"/>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25</xdr:row>
      <xdr:rowOff>155878</xdr:rowOff>
    </xdr:from>
    <xdr:to>
      <xdr:col>1</xdr:col>
      <xdr:colOff>2686050</xdr:colOff>
      <xdr:row>27</xdr:row>
      <xdr:rowOff>139267</xdr:rowOff>
    </xdr:to>
    <xdr:grpSp>
      <xdr:nvGrpSpPr>
        <xdr:cNvPr id="7" name="المجموعة 6">
          <a:extLst>
            <a:ext uri="{FF2B5EF4-FFF2-40B4-BE49-F238E27FC236}">
              <a16:creationId xmlns:a16="http://schemas.microsoft.com/office/drawing/2014/main" id="{73707755-F600-4512-81C1-EB2BE159BA8A}"/>
            </a:ext>
          </a:extLst>
        </xdr:cNvPr>
        <xdr:cNvGrpSpPr/>
      </xdr:nvGrpSpPr>
      <xdr:grpSpPr>
        <a:xfrm flipH="1">
          <a:off x="10927194300" y="5489878"/>
          <a:ext cx="3101635" cy="354864"/>
          <a:chOff x="546440" y="5489878"/>
          <a:chExt cx="2966237" cy="364389"/>
        </a:xfrm>
      </xdr:grpSpPr>
      <xdr:sp macro="" textlink="">
        <xdr:nvSpPr>
          <xdr:cNvPr id="72" name="الخطوة" descr="التدريب المجاني على Excel عبر الإنترنت، مرتبط ارتباطاً تشعبياً إلى الويب&#10;">
            <a:hlinkClick xmlns:r="http://schemas.openxmlformats.org/officeDocument/2006/relationships" r:id="rId10" tooltip="حدد للتعرف على تدريب Excel المجاني من الويب"/>
            <a:extLst>
              <a:ext uri="{FF2B5EF4-FFF2-40B4-BE49-F238E27FC236}">
                <a16:creationId xmlns:a16="http://schemas.microsoft.com/office/drawing/2014/main" id="{C58EAA90-3FBF-49C2-82FA-21634FD8AC83}"/>
              </a:ext>
            </a:extLst>
          </xdr:cNvPr>
          <xdr:cNvSpPr txBox="1"/>
        </xdr:nvSpPr>
        <xdr:spPr>
          <a:xfrm flipH="1">
            <a:off x="1011624" y="5569557"/>
            <a:ext cx="250105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73" name="الرسم 22" descr="سهم">
            <a:hlinkClick xmlns:r="http://schemas.openxmlformats.org/officeDocument/2006/relationships" r:id="rId10" tooltip="حدد للتعرّف على المزيد من الويب"/>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16</xdr:row>
      <xdr:rowOff>47625</xdr:rowOff>
    </xdr:to>
    <xdr:grpSp>
      <xdr:nvGrpSpPr>
        <xdr:cNvPr id="2" name="المجموعة 1">
          <a:extLst>
            <a:ext uri="{FF2B5EF4-FFF2-40B4-BE49-F238E27FC236}">
              <a16:creationId xmlns:a16="http://schemas.microsoft.com/office/drawing/2014/main" id="{33E5237C-83C3-4564-93AA-DF5775431276}"/>
            </a:ext>
          </a:extLst>
        </xdr:cNvPr>
        <xdr:cNvGrpSpPr/>
      </xdr:nvGrpSpPr>
      <xdr:grpSpPr>
        <a:xfrm flipH="1">
          <a:off x="10924717800" y="352425"/>
          <a:ext cx="5791200" cy="3314700"/>
          <a:chOff x="333375" y="352425"/>
          <a:chExt cx="5676900" cy="3314700"/>
        </a:xfrm>
      </xdr:grpSpPr>
      <xdr:sp macro="" textlink="">
        <xdr:nvSpPr>
          <xdr:cNvPr id="54" name="الخلفية" descr="الخلفية">
            <a:extLst>
              <a:ext uri="{FF2B5EF4-FFF2-40B4-BE49-F238E27FC236}">
                <a16:creationId xmlns:a16="http://schemas.microsoft.com/office/drawing/2014/main" id="{946CF461-EAD5-42C2-9617-11F5AB31034E}"/>
              </a:ext>
            </a:extLst>
          </xdr:cNvPr>
          <xdr:cNvSpPr/>
        </xdr:nvSpPr>
        <xdr:spPr>
          <a:xfrm flipH="1">
            <a:off x="333375" y="352425"/>
            <a:ext cx="5676900" cy="3314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cxnSp macro="">
        <xdr:nvCxnSpPr>
          <xdr:cNvPr id="55" name="سطر سفلي" descr="سطر مزخرف">
            <a:extLst>
              <a:ext uri="{FF2B5EF4-FFF2-40B4-BE49-F238E27FC236}">
                <a16:creationId xmlns:a16="http://schemas.microsoft.com/office/drawing/2014/main" id="{19CE13EE-832F-4DD0-B1BF-1804BA768D33}"/>
              </a:ext>
            </a:extLst>
          </xdr:cNvPr>
          <xdr:cNvCxnSpPr>
            <a:cxnSpLocks/>
          </xdr:cNvCxnSpPr>
        </xdr:nvCxnSpPr>
        <xdr:spPr>
          <a:xfrm flipH="1">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الخطوة" descr="الدالتان AVERAGE وCOUNT">
            <a:extLst>
              <a:ext uri="{FF2B5EF4-FFF2-40B4-BE49-F238E27FC236}">
                <a16:creationId xmlns:a16="http://schemas.microsoft.com/office/drawing/2014/main" id="{0EC26865-CBCE-4A2A-ABDC-3A3BD17755CC}"/>
              </a:ext>
            </a:extLst>
          </xdr:cNvPr>
          <xdr:cNvSpPr txBox="1"/>
        </xdr:nvSpPr>
        <xdr:spPr>
          <a:xfrm flipH="1">
            <a:off x="561975" y="412054"/>
            <a:ext cx="4531545"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1200">
                <a:solidFill>
                  <a:srgbClr val="3B3838"/>
                </a:solidFill>
                <a:effectLst/>
                <a:latin typeface="Tahoma" panose="020B0604030504040204" pitchFamily="34" charset="0"/>
                <a:ea typeface="+mn-ea"/>
                <a:cs typeface="Tahoma" panose="020B0604030504040204" pitchFamily="34" charset="0"/>
              </a:rPr>
              <a:t>الدالة AVERAGE</a:t>
            </a:r>
            <a:endParaRPr kumimoji="0" lang="en-US" sz="2200" b="0" i="0" u="none" strike="noStrike" kern="0" cap="none" spc="0" normalizeH="0" baseline="0">
              <a:ln>
                <a:noFill/>
              </a:ln>
              <a:solidFill>
                <a:srgbClr val="3B3838"/>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60" name="إضافة مقدمة الأرقام" descr="Use the AVERAGE function to get the average of numbers in a range of cells.&#10;Use the COUNT function to get the count of cells with values in them. The values can be numbers or text.&#10;">
            <a:extLst>
              <a:ext uri="{FF2B5EF4-FFF2-40B4-BE49-F238E27FC236}">
                <a16:creationId xmlns:a16="http://schemas.microsoft.com/office/drawing/2014/main" id="{222C44FC-97C1-4A45-8398-B2E0A188AD11}"/>
              </a:ext>
            </a:extLst>
          </xdr:cNvPr>
          <xdr:cNvSpPr txBox="1"/>
        </xdr:nvSpPr>
        <xdr:spPr>
          <a:xfrm flipH="1">
            <a:off x="55245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kern="1200">
                <a:solidFill>
                  <a:schemeClr val="dk1"/>
                </a:solidFill>
                <a:latin typeface="Tahoma" panose="020B0604030504040204" pitchFamily="34" charset="0"/>
                <a:ea typeface="+mn-ea"/>
                <a:cs typeface="Tahoma" panose="020B0604030504040204" pitchFamily="34" charset="0"/>
              </a:rPr>
              <a:t>استخدم الدالة </a:t>
            </a:r>
            <a:r>
              <a:rPr lang="ar" sz="1100" b="1" kern="1200">
                <a:solidFill>
                  <a:schemeClr val="dk1"/>
                </a:solidFill>
                <a:latin typeface="Tahoma" panose="020B0604030504040204" pitchFamily="34" charset="0"/>
                <a:ea typeface="+mn-ea"/>
                <a:cs typeface="Tahoma" panose="020B0604030504040204" pitchFamily="34" charset="0"/>
              </a:rPr>
              <a:t>AVERAGE</a:t>
            </a:r>
            <a:r>
              <a:rPr lang="ar" sz="1100" kern="1200">
                <a:solidFill>
                  <a:schemeClr val="dk1"/>
                </a:solidFill>
                <a:latin typeface="Tahoma" panose="020B0604030504040204" pitchFamily="34" charset="0"/>
                <a:ea typeface="+mn-ea"/>
                <a:cs typeface="Tahoma" panose="020B0604030504040204" pitchFamily="34" charset="0"/>
              </a:rPr>
              <a:t> للحصول على متوسط الأرقام في نطاق الخلايا.</a:t>
            </a:r>
          </a:p>
        </xdr:txBody>
      </xdr:sp>
      <xdr:cxnSp macro="">
        <xdr:nvCxnSpPr>
          <xdr:cNvPr id="74" name="موصل مستقيم 73" descr="سطر مزخرف">
            <a:extLst>
              <a:ext uri="{FF2B5EF4-FFF2-40B4-BE49-F238E27FC236}">
                <a16:creationId xmlns:a16="http://schemas.microsoft.com/office/drawing/2014/main" id="{EB69A890-AAA0-4D33-8A35-FC1FB4FFC831}"/>
              </a:ext>
            </a:extLst>
          </xdr:cNvPr>
          <xdr:cNvCxnSpPr>
            <a:cxnSpLocks/>
          </xdr:cNvCxnSpPr>
        </xdr:nvCxnSpPr>
        <xdr:spPr>
          <a:xfrm flipH="1">
            <a:off x="561975" y="3028950"/>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مجموعة_الخطوات">
            <a:extLst>
              <a:ext uri="{FF2B5EF4-FFF2-40B4-BE49-F238E27FC236}">
                <a16:creationId xmlns:a16="http://schemas.microsoft.com/office/drawing/2014/main" id="{337393F7-B1CB-40BB-9DB6-BE20F8463B0C}"/>
              </a:ext>
            </a:extLst>
          </xdr:cNvPr>
          <xdr:cNvGrpSpPr/>
        </xdr:nvGrpSpPr>
        <xdr:grpSpPr>
          <a:xfrm>
            <a:off x="542930" y="1228725"/>
            <a:ext cx="5236919" cy="593022"/>
            <a:chOff x="263059" y="1752333"/>
            <a:chExt cx="5245171" cy="603875"/>
          </a:xfrm>
        </xdr:grpSpPr>
        <xdr:sp macro="" textlink="">
          <xdr:nvSpPr>
            <xdr:cNvPr id="76" name="الخطوة" descr="انقر فوق الخلية D7، ثم استخدم معالج الجمع التلقائي لإضافة الدالة AVERAGE.&#10;">
              <a:extLst>
                <a:ext uri="{FF2B5EF4-FFF2-40B4-BE49-F238E27FC236}">
                  <a16:creationId xmlns:a16="http://schemas.microsoft.com/office/drawing/2014/main" id="{6F13119C-6E3E-4C36-B32B-49490A490EF6}"/>
                </a:ext>
              </a:extLst>
            </xdr:cNvPr>
            <xdr:cNvSpPr txBox="1"/>
          </xdr:nvSpPr>
          <xdr:spPr>
            <a:xfrm flipH="1">
              <a:off x="698714"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حدد الخلية D7، ثم استخدم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جمع تلقائي</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لإضافة الدالة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AVERAGE</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flipH="1">
              <a:off x="26305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78" name="مجموعة_الخطوات">
            <a:extLst>
              <a:ext uri="{FF2B5EF4-FFF2-40B4-BE49-F238E27FC236}">
                <a16:creationId xmlns:a16="http://schemas.microsoft.com/office/drawing/2014/main" id="{09C24E64-BB63-463B-8648-CD8E2595E290}"/>
              </a:ext>
            </a:extLst>
          </xdr:cNvPr>
          <xdr:cNvGrpSpPr/>
        </xdr:nvGrpSpPr>
        <xdr:grpSpPr>
          <a:xfrm>
            <a:off x="533405" y="1785947"/>
            <a:ext cx="5420846" cy="554930"/>
            <a:chOff x="145889" y="1003336"/>
            <a:chExt cx="5429388" cy="565086"/>
          </a:xfrm>
        </xdr:grpSpPr>
        <xdr:sp macro="" textlink="">
          <xdr:nvSpPr>
            <xdr:cNvPr id="79" name="الخطوة" descr="الآن انقر فوق الخلية G7، وأدخل دالة COUNT يدوياً عن طريق كتابة =COUNT(D3:D6).&#10;">
              <a:extLst>
                <a:ext uri="{FF2B5EF4-FFF2-40B4-BE49-F238E27FC236}">
                  <a16:creationId xmlns:a16="http://schemas.microsoft.com/office/drawing/2014/main" id="{2BDCA942-D2F9-4CA9-AA98-7ADE8728D2B6}"/>
                </a:ext>
              </a:extLst>
            </xdr:cNvPr>
            <xdr:cNvSpPr txBox="1"/>
          </xdr:nvSpPr>
          <xdr:spPr>
            <a:xfrm flipH="1">
              <a:off x="591083" y="1007035"/>
              <a:ext cx="4984194"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الآن حدد الخلية G7، وأدخل الدالة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AVERAGE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عن طريق كتابة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=AVERAGE(G3:G6)</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flipH="1">
              <a:off x="14588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nvGrpSpPr>
          <xdr:cNvPr id="81" name="مجموعة_الخطوات">
            <a:extLst>
              <a:ext uri="{FF2B5EF4-FFF2-40B4-BE49-F238E27FC236}">
                <a16:creationId xmlns:a16="http://schemas.microsoft.com/office/drawing/2014/main" id="{AA044558-54FF-4FC4-BA5E-52BCE7820723}"/>
              </a:ext>
            </a:extLst>
          </xdr:cNvPr>
          <xdr:cNvGrpSpPr/>
        </xdr:nvGrpSpPr>
        <xdr:grpSpPr>
          <a:xfrm>
            <a:off x="533400" y="2395530"/>
            <a:ext cx="5293285" cy="596207"/>
            <a:chOff x="146717" y="1003336"/>
            <a:chExt cx="5250416" cy="603885"/>
          </a:xfrm>
        </xdr:grpSpPr>
        <xdr:sp macro="" textlink="">
          <xdr:nvSpPr>
            <xdr:cNvPr id="82" name="الخطوة" descr="في الخلية D15، يمكنك استخدام معالج الجمع التلقائي، أو كتابة الدالة AVERAGE أو COUNT يدوياً. &#10;">
              <a:extLst>
                <a:ext uri="{FF2B5EF4-FFF2-40B4-BE49-F238E27FC236}">
                  <a16:creationId xmlns:a16="http://schemas.microsoft.com/office/drawing/2014/main" id="{3CD4882E-34FF-4391-9460-106057834DB5}"/>
                </a:ext>
              </a:extLst>
            </xdr:cNvPr>
            <xdr:cNvSpPr txBox="1"/>
          </xdr:nvSpPr>
          <xdr:spPr>
            <a:xfrm flipH="1">
              <a:off x="587617"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في الخلية D15، يمكنك استخدام إما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جمع تلقائي</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وإما تكتب لإدخال 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AVERAGE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أخرى.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flipH="1">
              <a:off x="146717"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grpSp>
    </xdr:grpSp>
    <xdr:clientData/>
  </xdr:twoCellAnchor>
  <xdr:absoluteAnchor>
    <xdr:pos x="571500" y="3181350"/>
    <xdr:ext cx="1275170" cy="335449"/>
    <xdr:sp macro="" textlink="">
      <xdr:nvSpPr>
        <xdr:cNvPr id="40" name="الزر_السابق" descr="الرجوع إلى الورقة السابقة">
          <a:hlinkClick xmlns:r="http://schemas.openxmlformats.org/officeDocument/2006/relationships" r:id="rId3" tooltip="انقر هنا للعودة إلى الورقة السابقة"/>
          <a:extLst>
            <a:ext uri="{FF2B5EF4-FFF2-40B4-BE49-F238E27FC236}">
              <a16:creationId xmlns:a16="http://schemas.microsoft.com/office/drawing/2014/main" id="{0E7DA197-ABD1-44AB-B211-A88D7396AFD9}"/>
            </a:ext>
          </a:extLst>
        </xdr:cNvPr>
        <xdr:cNvSpPr/>
      </xdr:nvSpPr>
      <xdr:spPr>
        <a:xfrm>
          <a:off x="571500"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clientData fPrintsWithSheet="0"/>
  </xdr:absoluteAnchor>
  <xdr:absoluteAnchor>
    <xdr:pos x="4494261" y="3181350"/>
    <xdr:ext cx="1275170" cy="335449"/>
    <xdr:sp macro="" textlink="">
      <xdr:nvSpPr>
        <xdr:cNvPr id="41" name="الزر_التالي" descr="التقدم إلى الورقة التالية">
          <a:hlinkClick xmlns:r="http://schemas.openxmlformats.org/officeDocument/2006/relationships" r:id="rId4" tooltip="انقر هنا للتقدم إلى الورقة التالية"/>
          <a:extLst>
            <a:ext uri="{FF2B5EF4-FFF2-40B4-BE49-F238E27FC236}">
              <a16:creationId xmlns:a16="http://schemas.microsoft.com/office/drawing/2014/main" id="{C770AC94-627D-4EC1-A995-AE96F8191AA8}"/>
            </a:ext>
          </a:extLst>
        </xdr:cNvPr>
        <xdr:cNvSpPr/>
      </xdr:nvSpPr>
      <xdr:spPr>
        <a:xfrm flipH="1">
          <a:off x="4494261"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fPrintsWithSheet="0"/>
  </xdr:absoluteAnchor>
  <xdr:twoCellAnchor editAs="absolute">
    <xdr:from>
      <xdr:col>7</xdr:col>
      <xdr:colOff>31750</xdr:colOff>
      <xdr:row>1</xdr:row>
      <xdr:rowOff>104775</xdr:rowOff>
    </xdr:from>
    <xdr:to>
      <xdr:col>11</xdr:col>
      <xdr:colOff>19050</xdr:colOff>
      <xdr:row>8</xdr:row>
      <xdr:rowOff>180976</xdr:rowOff>
    </xdr:to>
    <xdr:grpSp>
      <xdr:nvGrpSpPr>
        <xdr:cNvPr id="42" name="اطلع على ذلك" descr="اطلع على ذلك&#10;&#10;">
          <a:extLst>
            <a:ext uri="{FF2B5EF4-FFF2-40B4-BE49-F238E27FC236}">
              <a16:creationId xmlns:a16="http://schemas.microsoft.com/office/drawing/2014/main" id="{4F2C83E2-CCF8-46E7-9C89-FEAB092ACF14}"/>
            </a:ext>
          </a:extLst>
        </xdr:cNvPr>
        <xdr:cNvGrpSpPr/>
      </xdr:nvGrpSpPr>
      <xdr:grpSpPr>
        <a:xfrm flipH="1">
          <a:off x="10916678700" y="866775"/>
          <a:ext cx="2654300" cy="1409701"/>
          <a:chOff x="7539454" y="7993902"/>
          <a:chExt cx="2562091" cy="1409701"/>
        </a:xfrm>
      </xdr:grpSpPr>
      <xdr:grpSp>
        <xdr:nvGrpSpPr>
          <xdr:cNvPr id="43" name="أسطر قوس">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سطر قوس آخر" descr="سطر قوس">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sp macro="" textlink="">
          <xdr:nvSpPr>
            <xdr:cNvPr id="47" name="سطر قوس" descr="سطر قوس&#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grpSp>
      <xdr:pic>
        <xdr:nvPicPr>
          <xdr:cNvPr id="44" name="النجوم" descr="النجوم">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58184" y="8038700"/>
            <a:ext cx="360588" cy="337815"/>
          </a:xfrm>
          <a:prstGeom prst="rect">
            <a:avLst/>
          </a:prstGeom>
        </xdr:spPr>
      </xdr:pic>
      <xdr:sp macro="" textlink="">
        <xdr:nvSpPr>
          <xdr:cNvPr id="45" name="الإرشادات" descr="CHECK THIS OUT&#10;Select any range of numbers, then look in the Status Bar for an instant Average.&#10;">
            <a:extLst>
              <a:ext uri="{FF2B5EF4-FFF2-40B4-BE49-F238E27FC236}">
                <a16:creationId xmlns:a16="http://schemas.microsoft.com/office/drawing/2014/main" id="{D8493739-C1B9-4EAD-A94C-3DF50BC1811C}"/>
              </a:ext>
            </a:extLst>
          </xdr:cNvPr>
          <xdr:cNvSpPr txBox="1"/>
        </xdr:nvSpPr>
        <xdr:spPr>
          <a:xfrm flipH="1">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اطلع على ذلك</a:t>
            </a:r>
          </a:p>
          <a:p>
            <a:pPr lvl="0" algn="r" rtl="1">
              <a:defRPr/>
            </a:pPr>
            <a:r>
              <a:rPr lang="ar" sz="1100" kern="0">
                <a:solidFill>
                  <a:schemeClr val="bg2">
                    <a:lumMod val="25000"/>
                  </a:schemeClr>
                </a:solidFill>
                <a:latin typeface="+mn-lt"/>
                <a:ea typeface="Segoe UI" pitchFamily="34" charset="0"/>
                <a:cs typeface="Tahoma" panose="020B0604030504040204" pitchFamily="34" charset="0"/>
              </a:rPr>
              <a:t>حدد أي نطاق من الأرقام</a:t>
            </a:r>
            <a:r>
              <a:rPr lang="ar" sz="1100" kern="0" baseline="0">
                <a:solidFill>
                  <a:schemeClr val="bg2">
                    <a:lumMod val="25000"/>
                  </a:schemeClr>
                </a:solidFill>
                <a:latin typeface="+mn-lt"/>
                <a:ea typeface="Segoe UI" pitchFamily="34" charset="0"/>
                <a:cs typeface="Tahoma" panose="020B0604030504040204" pitchFamily="34" charset="0"/>
              </a:rPr>
              <a:t>، ثم ابحث في شريط الحالة عن متوسط فوري.</a:t>
            </a:r>
            <a:endParaRPr lang="en-US" sz="1100">
              <a:solidFill>
                <a:schemeClr val="bg2">
                  <a:lumMod val="25000"/>
                </a:schemeClr>
              </a:solidFill>
              <a:latin typeface="+mn-lt"/>
              <a:ea typeface="Segoe UI" pitchFamily="34" charset="0"/>
              <a:cs typeface="Tahoma" panose="020B0604030504040204"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سطر سفلي" descr="سطر مزخرف">
          <a:extLst>
            <a:ext uri="{FF2B5EF4-FFF2-40B4-BE49-F238E27FC236}">
              <a16:creationId xmlns:a16="http://schemas.microsoft.com/office/drawing/2014/main" id="{B2BB6690-F94B-423E-9085-888A990B20FA}"/>
            </a:ext>
          </a:extLst>
        </xdr:cNvPr>
        <xdr:cNvCxnSpPr>
          <a:cxnSpLocks/>
        </xdr:cNvCxnSpPr>
      </xdr:nvCxnSpPr>
      <xdr:spPr>
        <a:xfrm flipH="1">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342900</xdr:colOff>
      <xdr:row>0</xdr:row>
      <xdr:rowOff>352425</xdr:rowOff>
    </xdr:from>
    <xdr:to>
      <xdr:col>1</xdr:col>
      <xdr:colOff>5172075</xdr:colOff>
      <xdr:row>16</xdr:row>
      <xdr:rowOff>123825</xdr:rowOff>
    </xdr:to>
    <xdr:sp macro="" textlink="">
      <xdr:nvSpPr>
        <xdr:cNvPr id="10" name="الخلفية" descr="الخلفية">
          <a:extLst>
            <a:ext uri="{FF2B5EF4-FFF2-40B4-BE49-F238E27FC236}">
              <a16:creationId xmlns:a16="http://schemas.microsoft.com/office/drawing/2014/main" id="{CB9819E8-3CD0-4C0B-A61A-2C34908D539E}"/>
            </a:ext>
          </a:extLst>
        </xdr:cNvPr>
        <xdr:cNvSpPr/>
      </xdr:nvSpPr>
      <xdr:spPr>
        <a:xfrm flipH="1">
          <a:off x="34290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الخطوة" descr="الدالتان MIN وMAX &#10;">
          <a:extLst>
            <a:ext uri="{FF2B5EF4-FFF2-40B4-BE49-F238E27FC236}">
              <a16:creationId xmlns:a16="http://schemas.microsoft.com/office/drawing/2014/main" id="{290AE3DB-684C-4C3A-8975-4F68B8A76E04}"/>
            </a:ext>
          </a:extLst>
        </xdr:cNvPr>
        <xdr:cNvSpPr txBox="1"/>
      </xdr:nvSpPr>
      <xdr:spPr>
        <a:xfrm flipH="1">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1200">
              <a:solidFill>
                <a:srgbClr val="3B3838"/>
              </a:solidFill>
              <a:effectLst/>
              <a:latin typeface="Tahoma" panose="020B0604030504040204" pitchFamily="34" charset="0"/>
              <a:ea typeface="+mn-ea"/>
              <a:cs typeface="Tahoma" panose="020B0604030504040204" pitchFamily="34" charset="0"/>
            </a:rPr>
            <a:t>الدالتان MIN وMAX </a:t>
          </a:r>
          <a:endParaRPr kumimoji="0" lang="en-US" sz="2200" b="0" i="0" u="none" strike="noStrike" kern="0" cap="none" spc="0" normalizeH="0" baseline="0">
            <a:ln>
              <a:noFill/>
            </a:ln>
            <a:solidFill>
              <a:srgbClr val="3B3838"/>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سطر سفلي" descr="سطر مزخرف">
          <a:extLst>
            <a:ext uri="{FF2B5EF4-FFF2-40B4-BE49-F238E27FC236}">
              <a16:creationId xmlns:a16="http://schemas.microsoft.com/office/drawing/2014/main" id="{3E5AC6B3-B2DC-4232-99C9-EB75DEB63824}"/>
            </a:ext>
          </a:extLst>
        </xdr:cNvPr>
        <xdr:cNvCxnSpPr>
          <a:cxnSpLocks/>
        </xdr:cNvCxnSpPr>
      </xdr:nvCxnSpPr>
      <xdr:spPr>
        <a:xfrm flipH="1">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109545</xdr:rowOff>
    </xdr:from>
    <xdr:to>
      <xdr:col>1</xdr:col>
      <xdr:colOff>4941642</xdr:colOff>
      <xdr:row>7</xdr:row>
      <xdr:rowOff>2</xdr:rowOff>
    </xdr:to>
    <xdr:grpSp>
      <xdr:nvGrpSpPr>
        <xdr:cNvPr id="16" name="مجموعة_الخطوات">
          <a:extLst>
            <a:ext uri="{FF2B5EF4-FFF2-40B4-BE49-F238E27FC236}">
              <a16:creationId xmlns:a16="http://schemas.microsoft.com/office/drawing/2014/main" id="{ACD1828C-DCA0-413C-9B03-AC8C886B868F}"/>
            </a:ext>
          </a:extLst>
        </xdr:cNvPr>
        <xdr:cNvGrpSpPr/>
      </xdr:nvGrpSpPr>
      <xdr:grpSpPr>
        <a:xfrm flipH="1">
          <a:off x="10924938708" y="1443045"/>
          <a:ext cx="5332162" cy="461957"/>
          <a:chOff x="425239" y="1752333"/>
          <a:chExt cx="5226084" cy="470411"/>
        </a:xfrm>
      </xdr:grpSpPr>
      <xdr:sp macro="" textlink="">
        <xdr:nvSpPr>
          <xdr:cNvPr id="24" name="الخطوة" descr="حدد الخلية D7، ثم استخدم معالج الجمع التلقائي لإضافة الدالة MIN.&#10;&#10;">
            <a:extLst>
              <a:ext uri="{FF2B5EF4-FFF2-40B4-BE49-F238E27FC236}">
                <a16:creationId xmlns:a16="http://schemas.microsoft.com/office/drawing/2014/main" id="{D40637C7-0E2A-4342-9CA2-3732FB1CF31E}"/>
              </a:ext>
            </a:extLst>
          </xdr:cNvPr>
          <xdr:cNvSpPr txBox="1"/>
        </xdr:nvSpPr>
        <xdr:spPr>
          <a:xfrm flipH="1">
            <a:off x="841807" y="1794826"/>
            <a:ext cx="4809516" cy="4279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حدد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D7</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ثم استخدم معالج الجمع التلقائي لإضافة الدالة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MIN</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flipH="1">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clientData/>
  </xdr:twoCellAnchor>
  <xdr:twoCellAnchor>
    <xdr:from>
      <xdr:col>0</xdr:col>
      <xdr:colOff>561980</xdr:colOff>
      <xdr:row>7</xdr:row>
      <xdr:rowOff>57165</xdr:rowOff>
    </xdr:from>
    <xdr:to>
      <xdr:col>1</xdr:col>
      <xdr:colOff>4932123</xdr:colOff>
      <xdr:row>9</xdr:row>
      <xdr:rowOff>85727</xdr:rowOff>
    </xdr:to>
    <xdr:grpSp>
      <xdr:nvGrpSpPr>
        <xdr:cNvPr id="17" name="مجموعة_الخطوات">
          <a:extLst>
            <a:ext uri="{FF2B5EF4-FFF2-40B4-BE49-F238E27FC236}">
              <a16:creationId xmlns:a16="http://schemas.microsoft.com/office/drawing/2014/main" id="{C6DE3E57-FFF3-4FAC-B4DB-48087863CEA8}"/>
            </a:ext>
          </a:extLst>
        </xdr:cNvPr>
        <xdr:cNvGrpSpPr/>
      </xdr:nvGrpSpPr>
      <xdr:grpSpPr>
        <a:xfrm flipH="1">
          <a:off x="10924948227" y="1962165"/>
          <a:ext cx="5332168" cy="409562"/>
          <a:chOff x="308069" y="1003336"/>
          <a:chExt cx="5226090" cy="417058"/>
        </a:xfrm>
      </xdr:grpSpPr>
      <xdr:sp macro="" textlink="">
        <xdr:nvSpPr>
          <xdr:cNvPr id="22" name="الخطوة" descr="الآن حدد الخلية G7، وأدخل الدالة MAX عن طريق كتابة =MAX(D3:D6).&#10;">
            <a:extLst>
              <a:ext uri="{FF2B5EF4-FFF2-40B4-BE49-F238E27FC236}">
                <a16:creationId xmlns:a16="http://schemas.microsoft.com/office/drawing/2014/main" id="{8D1688A7-CC33-4913-8C67-495A2DA6F76D}"/>
              </a:ext>
            </a:extLst>
          </xdr:cNvPr>
          <xdr:cNvSpPr txBox="1"/>
        </xdr:nvSpPr>
        <xdr:spPr>
          <a:xfrm flipH="1">
            <a:off x="724643" y="1007037"/>
            <a:ext cx="4809516" cy="413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الآن حدد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G7</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وأدخل الدالة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MAX</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عن طريق كتابة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=MAX(D3:D6)</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flipH="1">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clientData/>
  </xdr:twoCellAnchor>
  <xdr:twoCellAnchor>
    <xdr:from>
      <xdr:col>0</xdr:col>
      <xdr:colOff>571500</xdr:colOff>
      <xdr:row>1</xdr:row>
      <xdr:rowOff>133348</xdr:rowOff>
    </xdr:from>
    <xdr:to>
      <xdr:col>1</xdr:col>
      <xdr:colOff>5024713</xdr:colOff>
      <xdr:row>3</xdr:row>
      <xdr:rowOff>190499</xdr:rowOff>
    </xdr:to>
    <xdr:sp macro="" textlink="">
      <xdr:nvSpPr>
        <xdr:cNvPr id="18" name="إضافة مقدمة الأرقام" descr="Use the MIN function to get the smallest number in a range of cells.&#10;Use the MAX function to get the largest number in a range of cells.&#10;">
          <a:extLst>
            <a:ext uri="{FF2B5EF4-FFF2-40B4-BE49-F238E27FC236}">
              <a16:creationId xmlns:a16="http://schemas.microsoft.com/office/drawing/2014/main" id="{55E08DD2-73B6-4C69-A6DB-D0A1FB4A580C}"/>
            </a:ext>
          </a:extLst>
        </xdr:cNvPr>
        <xdr:cNvSpPr txBox="1"/>
      </xdr:nvSpPr>
      <xdr:spPr>
        <a:xfrm flipH="1">
          <a:off x="571500" y="895348"/>
          <a:ext cx="5300938"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kern="1200">
              <a:solidFill>
                <a:schemeClr val="tx1">
                  <a:lumMod val="75000"/>
                  <a:lumOff val="25000"/>
                </a:schemeClr>
              </a:solidFill>
              <a:latin typeface="Tahoma" panose="020B0604030504040204" pitchFamily="34" charset="0"/>
              <a:ea typeface="+mn-ea"/>
              <a:cs typeface="Tahoma" panose="020B0604030504040204" pitchFamily="34" charset="0"/>
            </a:rPr>
            <a:t>استخدم الدالة </a:t>
          </a:r>
          <a:r>
            <a:rPr lang="ar" sz="1100" b="1" kern="1200">
              <a:solidFill>
                <a:schemeClr val="tx1">
                  <a:lumMod val="75000"/>
                  <a:lumOff val="25000"/>
                </a:schemeClr>
              </a:solidFill>
              <a:latin typeface="Tahoma" panose="020B0604030504040204" pitchFamily="34" charset="0"/>
              <a:ea typeface="+mn-ea"/>
              <a:cs typeface="Tahoma" panose="020B0604030504040204" pitchFamily="34" charset="0"/>
            </a:rPr>
            <a:t>MIN</a:t>
          </a:r>
          <a:r>
            <a:rPr lang="ar" sz="1100" kern="1200">
              <a:solidFill>
                <a:schemeClr val="tx1">
                  <a:lumMod val="75000"/>
                  <a:lumOff val="25000"/>
                </a:schemeClr>
              </a:solidFill>
              <a:latin typeface="Tahoma" panose="020B0604030504040204" pitchFamily="34" charset="0"/>
              <a:ea typeface="+mn-ea"/>
              <a:cs typeface="Tahoma" panose="020B0604030504040204" pitchFamily="34" charset="0"/>
            </a:rPr>
            <a:t> للحصول على أصغر رقم في نطاق الخلايا.</a:t>
          </a:r>
        </a:p>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استخدم الدالة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MAX</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للحصول على أكبر رقم في نطاق الخلايا.</a:t>
          </a:r>
        </a:p>
      </xdr:txBody>
    </xdr:sp>
    <xdr:clientData/>
  </xdr:twoCellAnchor>
  <xdr:twoCellAnchor>
    <xdr:from>
      <xdr:col>0</xdr:col>
      <xdr:colOff>561975</xdr:colOff>
      <xdr:row>9</xdr:row>
      <xdr:rowOff>190499</xdr:rowOff>
    </xdr:from>
    <xdr:to>
      <xdr:col>1</xdr:col>
      <xdr:colOff>4982917</xdr:colOff>
      <xdr:row>13</xdr:row>
      <xdr:rowOff>24706</xdr:rowOff>
    </xdr:to>
    <xdr:grpSp>
      <xdr:nvGrpSpPr>
        <xdr:cNvPr id="19" name="مجموعة_الخطوات">
          <a:extLst>
            <a:ext uri="{FF2B5EF4-FFF2-40B4-BE49-F238E27FC236}">
              <a16:creationId xmlns:a16="http://schemas.microsoft.com/office/drawing/2014/main" id="{E19A8549-EA85-41D7-8F76-919D997AC5D5}"/>
            </a:ext>
          </a:extLst>
        </xdr:cNvPr>
        <xdr:cNvGrpSpPr/>
      </xdr:nvGrpSpPr>
      <xdr:grpSpPr>
        <a:xfrm flipH="1">
          <a:off x="10924897433" y="2476499"/>
          <a:ext cx="5382967" cy="596207"/>
          <a:chOff x="307333" y="1003336"/>
          <a:chExt cx="5225997" cy="603885"/>
        </a:xfrm>
      </xdr:grpSpPr>
      <xdr:sp macro="" textlink="">
        <xdr:nvSpPr>
          <xdr:cNvPr id="20" name="الخطوة" descr="في الخلية D15، يمكنك استخدام معالج الجمع التلقائي، أو الكتابة لإدخال الدالة MIN أو MAX. &#10;&#10;">
            <a:extLst>
              <a:ext uri="{FF2B5EF4-FFF2-40B4-BE49-F238E27FC236}">
                <a16:creationId xmlns:a16="http://schemas.microsoft.com/office/drawing/2014/main" id="{CC98D20A-567C-4788-A414-50C22ED99A17}"/>
              </a:ext>
            </a:extLst>
          </xdr:cNvPr>
          <xdr:cNvSpPr txBox="1"/>
        </xdr:nvSpPr>
        <xdr:spPr>
          <a:xfrm flipH="1">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في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D15</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يمكنك استخدام معالج الجمع التلقائي، أو الكتابة لإدخال الدالة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MIN</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أو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MAX</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flipH="1">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grpSp>
    <xdr:clientData/>
  </xdr:twoCellAnchor>
  <xdr:twoCellAnchor>
    <xdr:from>
      <xdr:col>0</xdr:col>
      <xdr:colOff>342900</xdr:colOff>
      <xdr:row>17</xdr:row>
      <xdr:rowOff>19051</xdr:rowOff>
    </xdr:from>
    <xdr:to>
      <xdr:col>1</xdr:col>
      <xdr:colOff>5191125</xdr:colOff>
      <xdr:row>28</xdr:row>
      <xdr:rowOff>1</xdr:rowOff>
    </xdr:to>
    <xdr:grpSp>
      <xdr:nvGrpSpPr>
        <xdr:cNvPr id="3" name="المجموعة 2">
          <a:extLst>
            <a:ext uri="{FF2B5EF4-FFF2-40B4-BE49-F238E27FC236}">
              <a16:creationId xmlns:a16="http://schemas.microsoft.com/office/drawing/2014/main" id="{93BD323D-B807-4DC9-82D1-2419D0592459}"/>
            </a:ext>
          </a:extLst>
        </xdr:cNvPr>
        <xdr:cNvGrpSpPr/>
      </xdr:nvGrpSpPr>
      <xdr:grpSpPr>
        <a:xfrm flipH="1">
          <a:off x="10924689225" y="3829051"/>
          <a:ext cx="5810250" cy="2066925"/>
          <a:chOff x="361950" y="4257676"/>
          <a:chExt cx="5695950" cy="2076450"/>
        </a:xfrm>
      </xdr:grpSpPr>
      <xdr:sp macro="" textlink="">
        <xdr:nvSpPr>
          <xdr:cNvPr id="27" name="مستطيل 26">
            <a:extLst>
              <a:ext uri="{FF2B5EF4-FFF2-40B4-BE49-F238E27FC236}">
                <a16:creationId xmlns:a16="http://schemas.microsoft.com/office/drawing/2014/main" id="{D2A991A4-D7C7-4619-B047-CB0C8832AC4C}"/>
              </a:ext>
            </a:extLst>
          </xdr:cNvPr>
          <xdr:cNvSpPr/>
        </xdr:nvSpPr>
        <xdr:spPr>
          <a:xfrm flipH="1">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28" name="الخطوة" descr="المزيد من المعلومات على الويب&#10;">
            <a:extLst>
              <a:ext uri="{FF2B5EF4-FFF2-40B4-BE49-F238E27FC236}">
                <a16:creationId xmlns:a16="http://schemas.microsoft.com/office/drawing/2014/main" id="{DA0507A3-65A2-4A27-BE2D-D23069AF1FD1}"/>
              </a:ext>
            </a:extLst>
          </xdr:cNvPr>
          <xdr:cNvSpPr txBox="1"/>
        </xdr:nvSpPr>
        <xdr:spPr>
          <a:xfrm flipH="1">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29" name="موصل مستقيم 28" descr="سطر مزخرف">
            <a:extLst>
              <a:ext uri="{FF2B5EF4-FFF2-40B4-BE49-F238E27FC236}">
                <a16:creationId xmlns:a16="http://schemas.microsoft.com/office/drawing/2014/main" id="{B3104255-0CEA-4FDA-A658-47296C06C36F}"/>
              </a:ext>
            </a:extLst>
          </xdr:cNvPr>
          <xdr:cNvCxnSpPr>
            <a:cxnSpLocks/>
          </xdr:cNvCxnSpPr>
        </xdr:nvCxnSpPr>
        <xdr:spPr>
          <a:xfrm flipH="1">
            <a:off x="553932" y="48224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موصل مستقيم 29" descr="سطر مزخرف">
            <a:extLst>
              <a:ext uri="{FF2B5EF4-FFF2-40B4-BE49-F238E27FC236}">
                <a16:creationId xmlns:a16="http://schemas.microsoft.com/office/drawing/2014/main" id="{49D6338B-887A-470A-8EFD-F86CF786FD84}"/>
              </a:ext>
            </a:extLst>
          </xdr:cNvPr>
          <xdr:cNvCxnSpPr>
            <a:cxnSpLocks/>
          </xdr:cNvCxnSpPr>
        </xdr:nvCxnSpPr>
        <xdr:spPr>
          <a:xfrm flipH="1">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73744</xdr:rowOff>
    </xdr:from>
    <xdr:to>
      <xdr:col>1</xdr:col>
      <xdr:colOff>2590800</xdr:colOff>
      <xdr:row>22</xdr:row>
      <xdr:rowOff>51823</xdr:rowOff>
    </xdr:to>
    <xdr:grpSp>
      <xdr:nvGrpSpPr>
        <xdr:cNvPr id="6" name="المجموعة 5">
          <a:extLst>
            <a:ext uri="{FF2B5EF4-FFF2-40B4-BE49-F238E27FC236}">
              <a16:creationId xmlns:a16="http://schemas.microsoft.com/office/drawing/2014/main" id="{FFCA9288-014C-4486-980E-27B20766EED2}"/>
            </a:ext>
          </a:extLst>
        </xdr:cNvPr>
        <xdr:cNvGrpSpPr/>
      </xdr:nvGrpSpPr>
      <xdr:grpSpPr>
        <a:xfrm flipH="1">
          <a:off x="10927289550" y="4455244"/>
          <a:ext cx="2980894" cy="359079"/>
          <a:chOff x="571931" y="4826719"/>
          <a:chExt cx="2866594" cy="359079"/>
        </a:xfrm>
      </xdr:grpSpPr>
      <xdr:sp macro="" textlink="">
        <xdr:nvSpPr>
          <xdr:cNvPr id="31" name="الخطوة" descr="جميع المعلومات حول الدالة MIN، مرتبط ارتباطاً تشعبياً إلى الويب&#10;&#10;">
            <a:hlinkClick xmlns:r="http://schemas.openxmlformats.org/officeDocument/2006/relationships" r:id="rId1" tooltip="حدد للتعرف على جميع المعلومات حول الدالة MIN على الويب"/>
            <a:extLst>
              <a:ext uri="{FF2B5EF4-FFF2-40B4-BE49-F238E27FC236}">
                <a16:creationId xmlns:a16="http://schemas.microsoft.com/office/drawing/2014/main" id="{E268E6C5-C10D-4D45-964B-7EC8CCA4D651}"/>
              </a:ext>
            </a:extLst>
          </xdr:cNvPr>
          <xdr:cNvSpPr txBox="1"/>
        </xdr:nvSpPr>
        <xdr:spPr>
          <a:xfrm flipH="1">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MIN</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الدالة</a:t>
            </a:r>
          </a:p>
        </xdr:txBody>
      </xdr:sp>
      <xdr:pic>
        <xdr:nvPicPr>
          <xdr:cNvPr id="32" name="الرسم 22" descr="سهم">
            <a:hlinkClick xmlns:r="http://schemas.openxmlformats.org/officeDocument/2006/relationships" r:id="rId1" tooltip="حدد للتعرّف على المزيد من الويب"/>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22</xdr:row>
      <xdr:rowOff>59671</xdr:rowOff>
    </xdr:from>
    <xdr:to>
      <xdr:col>1</xdr:col>
      <xdr:colOff>2619375</xdr:colOff>
      <xdr:row>24</xdr:row>
      <xdr:rowOff>43060</xdr:rowOff>
    </xdr:to>
    <xdr:grpSp>
      <xdr:nvGrpSpPr>
        <xdr:cNvPr id="5" name="المجموعة 4">
          <a:extLst>
            <a:ext uri="{FF2B5EF4-FFF2-40B4-BE49-F238E27FC236}">
              <a16:creationId xmlns:a16="http://schemas.microsoft.com/office/drawing/2014/main" id="{432B9DC1-07CB-4CB5-9408-142776FE3CE6}"/>
            </a:ext>
          </a:extLst>
        </xdr:cNvPr>
        <xdr:cNvGrpSpPr/>
      </xdr:nvGrpSpPr>
      <xdr:grpSpPr>
        <a:xfrm flipH="1">
          <a:off x="10927260975" y="4822171"/>
          <a:ext cx="3009469" cy="364389"/>
          <a:chOff x="571931" y="5193646"/>
          <a:chExt cx="2895169" cy="364389"/>
        </a:xfrm>
      </xdr:grpSpPr>
      <xdr:sp macro="" textlink="">
        <xdr:nvSpPr>
          <xdr:cNvPr id="33" name="الخطوة" descr="جميع المعلومات حول الدالة MAX، مرتبط ارتباطاً تشعبياً إلى الويب&#10;">
            <a:hlinkClick xmlns:r="http://schemas.openxmlformats.org/officeDocument/2006/relationships" r:id="rId4" tooltip="حدد للتعرف على جميع المعلومات حول الدالة MAX على الويب"/>
            <a:extLst>
              <a:ext uri="{FF2B5EF4-FFF2-40B4-BE49-F238E27FC236}">
                <a16:creationId xmlns:a16="http://schemas.microsoft.com/office/drawing/2014/main" id="{118881C9-E273-4528-B2BB-EADC59D4FCD0}"/>
              </a:ext>
            </a:extLst>
          </xdr:cNvPr>
          <xdr:cNvSpPr txBox="1"/>
        </xdr:nvSpPr>
        <xdr:spPr>
          <a:xfrm flipH="1">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MAX</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pic>
        <xdr:nvPicPr>
          <xdr:cNvPr id="34" name="الرسم 22" descr="سهم">
            <a:hlinkClick xmlns:r="http://schemas.openxmlformats.org/officeDocument/2006/relationships" r:id="rId4" tooltip="حدد للتعرّف على المزيد من الويب"/>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98728</xdr:rowOff>
    </xdr:from>
    <xdr:to>
      <xdr:col>1</xdr:col>
      <xdr:colOff>2743200</xdr:colOff>
      <xdr:row>26</xdr:row>
      <xdr:rowOff>82117</xdr:rowOff>
    </xdr:to>
    <xdr:grpSp>
      <xdr:nvGrpSpPr>
        <xdr:cNvPr id="4" name="المجموعة 3">
          <a:extLst>
            <a:ext uri="{FF2B5EF4-FFF2-40B4-BE49-F238E27FC236}">
              <a16:creationId xmlns:a16="http://schemas.microsoft.com/office/drawing/2014/main" id="{742226DB-497C-49F5-B244-A06F92B322A2}"/>
            </a:ext>
          </a:extLst>
        </xdr:cNvPr>
        <xdr:cNvGrpSpPr/>
      </xdr:nvGrpSpPr>
      <xdr:grpSpPr>
        <a:xfrm flipH="1">
          <a:off x="10927137150" y="5242228"/>
          <a:ext cx="3120685" cy="354864"/>
          <a:chOff x="584540" y="5613703"/>
          <a:chExt cx="2984455" cy="364389"/>
        </a:xfrm>
      </xdr:grpSpPr>
      <xdr:sp macro="" textlink="">
        <xdr:nvSpPr>
          <xdr:cNvPr id="37" name="الخطوة" descr="التدريب المجاني على Excel عبر الإنترنت، مرتبط ارتباطاً تشعبياً إلى الويب&#10;">
            <a:hlinkClick xmlns:r="http://schemas.openxmlformats.org/officeDocument/2006/relationships" r:id="rId5" tooltip="حدد للتعرف على تدريب Excel المجاني من الويب"/>
            <a:extLst>
              <a:ext uri="{FF2B5EF4-FFF2-40B4-BE49-F238E27FC236}">
                <a16:creationId xmlns:a16="http://schemas.microsoft.com/office/drawing/2014/main" id="{F83437F7-466E-4778-8A80-A19AB367662B}"/>
              </a:ext>
            </a:extLst>
          </xdr:cNvPr>
          <xdr:cNvSpPr txBox="1"/>
        </xdr:nvSpPr>
        <xdr:spPr>
          <a:xfrm flipH="1">
            <a:off x="1049724" y="5636232"/>
            <a:ext cx="2519271"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38" name="الرسم 22" descr="سهم">
            <a:hlinkClick xmlns:r="http://schemas.openxmlformats.org/officeDocument/2006/relationships" r:id="rId5" tooltip="حدد للتعرّف على المزيد من الويب"/>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2</xdr:col>
      <xdr:colOff>762000</xdr:colOff>
      <xdr:row>15</xdr:row>
      <xdr:rowOff>152400</xdr:rowOff>
    </xdr:from>
    <xdr:to>
      <xdr:col>7</xdr:col>
      <xdr:colOff>133350</xdr:colOff>
      <xdr:row>25</xdr:row>
      <xdr:rowOff>96710</xdr:rowOff>
    </xdr:to>
    <xdr:grpSp>
      <xdr:nvGrpSpPr>
        <xdr:cNvPr id="39" name="من الرائع معرفة أنه" descr="من الرائع معرفة أن&#10;&#10;">
          <a:extLst>
            <a:ext uri="{FF2B5EF4-FFF2-40B4-BE49-F238E27FC236}">
              <a16:creationId xmlns:a16="http://schemas.microsoft.com/office/drawing/2014/main" id="{1617705E-A557-408B-AB54-5DBE8291A7F8}"/>
            </a:ext>
          </a:extLst>
        </xdr:cNvPr>
        <xdr:cNvGrpSpPr/>
      </xdr:nvGrpSpPr>
      <xdr:grpSpPr>
        <a:xfrm flipH="1">
          <a:off x="10919231400" y="3581400"/>
          <a:ext cx="3581400" cy="1849310"/>
          <a:chOff x="6778625" y="15514765"/>
          <a:chExt cx="3312054" cy="1776285"/>
        </a:xfrm>
      </xdr:grpSpPr>
      <xdr:sp macro="" textlink="">
        <xdr:nvSpPr>
          <xdr:cNvPr id="40" name="الخطوة" descr="GOOD TO KNOW&#10;You can use either MIN or MAX with multiple ranges, or values to show the greater or lesser of those values, like =MIN(A1:A10,B1:B10), or =MAX(A1:A10,B1), where B1 contains a threshold value, like 10, in which case the formula would never return a result less than 10.&#10;&#10;">
            <a:extLst>
              <a:ext uri="{FF2B5EF4-FFF2-40B4-BE49-F238E27FC236}">
                <a16:creationId xmlns:a16="http://schemas.microsoft.com/office/drawing/2014/main" id="{DA9CF6DC-C185-4A57-82E2-BEDA961A6793}"/>
              </a:ext>
            </a:extLst>
          </xdr:cNvPr>
          <xdr:cNvSpPr txBox="1"/>
        </xdr:nvSpPr>
        <xdr:spPr>
          <a:xfrm flipH="1">
            <a:off x="7042958" y="15665450"/>
            <a:ext cx="3047721"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من الرائع معرفة أنه</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يمكنك استخدام إما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MIN</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أو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MAX</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مع عدة نطاقات أو قيم لعرض القيم الأكبر أو الأقل لتلك القيم، مثل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=MIN(A1:A10,B1:B10)</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أو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=MAX(A1:A10,B1)</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حيث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B1</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تحتوي على قيمة الحد، مثل 10، في هذه الحالة لن ترجع الصيغة نتيجة أقل من 10.</a:t>
            </a:r>
            <a:endParaRPr lang="en-US" sz="1100">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41" name="الرسم 147" descr="نظارات">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6778625" y="15628855"/>
            <a:ext cx="323347" cy="349115"/>
          </a:xfrm>
          <a:prstGeom prst="rect">
            <a:avLst/>
          </a:prstGeom>
        </xdr:spPr>
      </xdr:pic>
      <xdr:sp macro="" textlink="">
        <xdr:nvSpPr>
          <xdr:cNvPr id="42" name="شكل حر: الشكل 41" descr="سهم">
            <a:extLst>
              <a:ext uri="{FF2B5EF4-FFF2-40B4-BE49-F238E27FC236}">
                <a16:creationId xmlns:a16="http://schemas.microsoft.com/office/drawing/2014/main" id="{BD5A064F-A80A-499D-92F8-64D2BEDF69F1}"/>
              </a:ext>
            </a:extLst>
          </xdr:cNvPr>
          <xdr:cNvSpPr/>
        </xdr:nvSpPr>
        <xdr:spPr>
          <a:xfrm rot="5953034" flipV="1">
            <a:off x="8882181"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p>
        </xdr:txBody>
      </xdr:sp>
    </xdr:grpSp>
    <xdr:clientData/>
  </xdr:twoCellAnchor>
  <xdr:absoluteAnchor>
    <xdr:pos x="561975" y="3267075"/>
    <xdr:ext cx="1275170" cy="335449"/>
    <xdr:sp macro="" textlink="">
      <xdr:nvSpPr>
        <xdr:cNvPr id="43" name="الزر_السابق" descr="الرجوع إلى الورقة السابقة">
          <a:hlinkClick xmlns:r="http://schemas.openxmlformats.org/officeDocument/2006/relationships" r:id="rId8" tooltip="انقر هنا للعودة إلى الورقة السابقة"/>
          <a:extLst>
            <a:ext uri="{FF2B5EF4-FFF2-40B4-BE49-F238E27FC236}">
              <a16:creationId xmlns:a16="http://schemas.microsoft.com/office/drawing/2014/main" id="{4A8A6AC5-39D2-478E-BABC-4FA14FC159F7}"/>
            </a:ext>
          </a:extLst>
        </xdr:cNvPr>
        <xdr:cNvSpPr/>
      </xdr:nvSpPr>
      <xdr:spPr>
        <a:xfrm>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clientData fPrintsWithSheet="0"/>
  </xdr:absoluteAnchor>
  <xdr:absoluteAnchor>
    <xdr:pos x="4484736" y="3267075"/>
    <xdr:ext cx="1275170" cy="335449"/>
    <xdr:sp macro="" textlink="">
      <xdr:nvSpPr>
        <xdr:cNvPr id="44" name="الزر_التالي" descr="التقدم إلى الورقة التالية">
          <a:hlinkClick xmlns:r="http://schemas.openxmlformats.org/officeDocument/2006/relationships" r:id="rId9" tooltip="انقر هنا للتقدم إلى الورقة التالية"/>
          <a:extLst>
            <a:ext uri="{FF2B5EF4-FFF2-40B4-BE49-F238E27FC236}">
              <a16:creationId xmlns:a16="http://schemas.microsoft.com/office/drawing/2014/main" id="{B091AE1C-BD6E-4F50-9366-449007968A7F}"/>
            </a:ext>
          </a:extLst>
        </xdr:cNvPr>
        <xdr:cNvSpPr/>
      </xdr:nvSpPr>
      <xdr:spPr>
        <a:xfrm flipH="1">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سطر سفلي" descr="سطر مزخرف">
          <a:extLst>
            <a:ext uri="{FF2B5EF4-FFF2-40B4-BE49-F238E27FC236}">
              <a16:creationId xmlns:a16="http://schemas.microsoft.com/office/drawing/2014/main" id="{FAE27880-D0A9-496B-B9C4-3BA9C49EA05F}"/>
            </a:ext>
          </a:extLst>
        </xdr:cNvPr>
        <xdr:cNvCxnSpPr>
          <a:cxnSpLocks/>
        </xdr:cNvCxnSpPr>
      </xdr:nvCxnSpPr>
      <xdr:spPr>
        <a:xfrm flipH="1">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6299201</xdr:colOff>
      <xdr:row>12</xdr:row>
      <xdr:rowOff>167021</xdr:rowOff>
    </xdr:from>
    <xdr:to>
      <xdr:col>4</xdr:col>
      <xdr:colOff>638176</xdr:colOff>
      <xdr:row>22</xdr:row>
      <xdr:rowOff>31752</xdr:rowOff>
    </xdr:to>
    <xdr:grpSp>
      <xdr:nvGrpSpPr>
        <xdr:cNvPr id="110" name="من الرائع معرفة أنه" descr="GOOD TO KNOW&#10;Excel keeps dates and times based on the number of days starting from January 1, 1900. Times are kept in fractional portions of a day based on minutes.&#10;&#10;So 01/01/2017 12:30 PM is actually stored as 42736.5208.&#10;&#10;">
          <a:extLst>
            <a:ext uri="{FF2B5EF4-FFF2-40B4-BE49-F238E27FC236}">
              <a16:creationId xmlns:a16="http://schemas.microsoft.com/office/drawing/2014/main" id="{5FD1EED7-BA78-459D-8631-C577BE6708FF}"/>
            </a:ext>
          </a:extLst>
        </xdr:cNvPr>
        <xdr:cNvGrpSpPr/>
      </xdr:nvGrpSpPr>
      <xdr:grpSpPr>
        <a:xfrm flipH="1">
          <a:off x="11232765824" y="3205496"/>
          <a:ext cx="3540125" cy="1674481"/>
          <a:chOff x="6778625" y="15449520"/>
          <a:chExt cx="3324826" cy="1638856"/>
        </a:xfrm>
      </xdr:grpSpPr>
      <xdr:sp macro="" textlink="">
        <xdr:nvSpPr>
          <xdr:cNvPr id="111" name="الخطوة" descr="GOOD TO KNOW&#10;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10;&#10;">
            <a:extLst>
              <a:ext uri="{FF2B5EF4-FFF2-40B4-BE49-F238E27FC236}">
                <a16:creationId xmlns:a16="http://schemas.microsoft.com/office/drawing/2014/main" id="{7BF2997B-A0C3-4169-8E09-CA4590DE712A}"/>
              </a:ext>
            </a:extLst>
          </xdr:cNvPr>
          <xdr:cNvSpPr txBox="1"/>
        </xdr:nvSpPr>
        <xdr:spPr>
          <a:xfrm flipH="1">
            <a:off x="7042958" y="15665450"/>
            <a:ext cx="3060493" cy="14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من الرائع معرفة أنه</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يحتفظ Excel بالتواريخ والأوقات استناداً إلى عدد الأيام بدءاً من 1 يناير 1900. يتم الاحتفاظ بالأوقات بأجزاء كسرية من اليوم استناداً إلى الدقائق. لذا يتم تخزين 2017/01/01 12:30 م فعلياً كـ 42736.5208. إذا ظهر التاريخ أو الوقت :كأرقام مثل هذه، فيمكنك الضغط على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Ctrl</a:t>
            </a:r>
            <a:r>
              <a:rPr lang="en-US"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+1</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&gt;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رقم</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&gt;</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تحديد </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التاريخ</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أو الوقتتنسيق. </a:t>
            </a:r>
            <a:endParaRPr lang="en-US" sz="1100">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112" name="الرسم 147" descr="نظارات">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flipH="1">
            <a:off x="6778625" y="15619705"/>
            <a:ext cx="323347" cy="349115"/>
          </a:xfrm>
          <a:prstGeom prst="rect">
            <a:avLst/>
          </a:prstGeom>
        </xdr:spPr>
      </xdr:pic>
      <xdr:sp macro="" textlink="">
        <xdr:nvSpPr>
          <xdr:cNvPr id="113" name="شكل حر: الشكل 112" descr="سهم">
            <a:extLst>
              <a:ext uri="{FF2B5EF4-FFF2-40B4-BE49-F238E27FC236}">
                <a16:creationId xmlns:a16="http://schemas.microsoft.com/office/drawing/2014/main" id="{70DF2B70-E9B4-4B83-9810-DBBCC80FDC11}"/>
              </a:ext>
            </a:extLst>
          </xdr:cNvPr>
          <xdr:cNvSpPr/>
        </xdr:nvSpPr>
        <xdr:spPr>
          <a:xfrm rot="5774257" flipV="1">
            <a:off x="8613472" y="15344818"/>
            <a:ext cx="284005" cy="49340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editAs="absolute">
    <xdr:from>
      <xdr:col>0</xdr:col>
      <xdr:colOff>341702</xdr:colOff>
      <xdr:row>0</xdr:row>
      <xdr:rowOff>352425</xdr:rowOff>
    </xdr:from>
    <xdr:to>
      <xdr:col>1</xdr:col>
      <xdr:colOff>5172077</xdr:colOff>
      <xdr:row>17</xdr:row>
      <xdr:rowOff>171450</xdr:rowOff>
    </xdr:to>
    <xdr:grpSp>
      <xdr:nvGrpSpPr>
        <xdr:cNvPr id="2" name="المجموعة 1">
          <a:extLst>
            <a:ext uri="{FF2B5EF4-FFF2-40B4-BE49-F238E27FC236}">
              <a16:creationId xmlns:a16="http://schemas.microsoft.com/office/drawing/2014/main" id="{9EC07B18-6CCC-4D21-8D16-EAC636990ABB}"/>
            </a:ext>
          </a:extLst>
        </xdr:cNvPr>
        <xdr:cNvGrpSpPr/>
      </xdr:nvGrpSpPr>
      <xdr:grpSpPr>
        <a:xfrm flipH="1">
          <a:off x="11237433073" y="352425"/>
          <a:ext cx="5792400" cy="3762375"/>
          <a:chOff x="342900" y="352425"/>
          <a:chExt cx="5734050" cy="3810000"/>
        </a:xfrm>
      </xdr:grpSpPr>
      <xdr:sp macro="" textlink="">
        <xdr:nvSpPr>
          <xdr:cNvPr id="88" name="نص_خلفية الجولة" descr="الخلفية">
            <a:extLst>
              <a:ext uri="{FF2B5EF4-FFF2-40B4-BE49-F238E27FC236}">
                <a16:creationId xmlns:a16="http://schemas.microsoft.com/office/drawing/2014/main" id="{1B9F331C-35CF-445A-B76D-D6E6332E2CF5}"/>
              </a:ext>
            </a:extLst>
          </xdr:cNvPr>
          <xdr:cNvSpPr/>
        </xdr:nvSpPr>
        <xdr:spPr>
          <a:xfrm flipH="1">
            <a:off x="342900" y="352425"/>
            <a:ext cx="5734050" cy="381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7" name="نص_عنوان الجولة" descr="دالات التاريخ">
            <a:extLst>
              <a:ext uri="{FF2B5EF4-FFF2-40B4-BE49-F238E27FC236}">
                <a16:creationId xmlns:a16="http://schemas.microsoft.com/office/drawing/2014/main" id="{1EE65C32-27B1-48DD-9EA0-C5AF4DDF9DA1}"/>
              </a:ext>
            </a:extLst>
          </xdr:cNvPr>
          <xdr:cNvSpPr txBox="1"/>
        </xdr:nvSpPr>
        <xdr:spPr>
          <a:xfrm flipH="1">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دالات التاريخ</a:t>
            </a:r>
            <a:endParaRPr kumimoji="0" lang="en-US"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cxnSp macro="">
        <xdr:nvCxnSpPr>
          <xdr:cNvPr id="98" name="نص_سطر الجولة 1" descr="سطر مزخرف">
            <a:extLst>
              <a:ext uri="{FF2B5EF4-FFF2-40B4-BE49-F238E27FC236}">
                <a16:creationId xmlns:a16="http://schemas.microsoft.com/office/drawing/2014/main" id="{EC0E883E-105A-4156-A84D-D7E17410FCE4}"/>
              </a:ext>
            </a:extLst>
          </xdr:cNvPr>
          <xdr:cNvCxnSpPr>
            <a:cxnSpLocks/>
          </xdr:cNvCxnSpPr>
        </xdr:nvCxnSpPr>
        <xdr:spPr>
          <a:xfrm flipH="1">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نص_سطر الجولة 2" descr="سطر مزخرف">
            <a:extLst>
              <a:ext uri="{FF2B5EF4-FFF2-40B4-BE49-F238E27FC236}">
                <a16:creationId xmlns:a16="http://schemas.microsoft.com/office/drawing/2014/main" id="{A8B37EE1-E313-4FB9-9B34-9B560124860A}"/>
              </a:ext>
            </a:extLst>
          </xdr:cNvPr>
          <xdr:cNvCxnSpPr>
            <a:cxnSpLocks/>
          </xdr:cNvCxnSpPr>
        </xdr:nvCxnSpPr>
        <xdr:spPr>
          <a:xfrm flipH="1">
            <a:off x="546103" y="395762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نص_مقدمة الجولة" descr="يمكن أن يقدم لك Excel التاريخ الحالي، استناداً إلى الإعدادات الإقليمية للكمبيوتر الخاص بك. يمكنك أيضاً إضافة التواريخ وطرحها.&#10;">
            <a:extLst>
              <a:ext uri="{FF2B5EF4-FFF2-40B4-BE49-F238E27FC236}">
                <a16:creationId xmlns:a16="http://schemas.microsoft.com/office/drawing/2014/main" id="{1CD4C115-CC7A-486C-867C-2FDD553B15B7}"/>
              </a:ext>
            </a:extLst>
          </xdr:cNvPr>
          <xdr:cNvSpPr txBox="1"/>
        </xdr:nvSpPr>
        <xdr:spPr>
          <a:xfrm flipH="1">
            <a:off x="581188" y="1045767"/>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يمكن أن يقدم لك Excel التاريخ الحالي، استناداً إلى الإعدادات الإقليمية للكمبيوتر الخاص بك. يمكنك أيضاً إضافة التواريخ وطرحها.</a:t>
            </a:r>
          </a:p>
        </xdr:txBody>
      </xdr:sp>
      <xdr:grpSp>
        <xdr:nvGrpSpPr>
          <xdr:cNvPr id="105" name="مجموعة_الخطوات">
            <a:extLst>
              <a:ext uri="{FF2B5EF4-FFF2-40B4-BE49-F238E27FC236}">
                <a16:creationId xmlns:a16="http://schemas.microsoft.com/office/drawing/2014/main" id="{06FF7E03-9CF3-4BF2-97FA-A9B470E37530}"/>
              </a:ext>
            </a:extLst>
          </xdr:cNvPr>
          <xdr:cNvGrpSpPr/>
        </xdr:nvGrpSpPr>
        <xdr:grpSpPr>
          <a:xfrm>
            <a:off x="561975" y="1578608"/>
            <a:ext cx="5467350" cy="740887"/>
            <a:chOff x="600549" y="7810500"/>
            <a:chExt cx="5195285" cy="748179"/>
          </a:xfrm>
        </xdr:grpSpPr>
        <xdr:sp macro="" textlink="">
          <xdr:nvSpPr>
            <xdr:cNvPr id="106" name="نص_ الخطوة" descr="ألق نظرة على الدالة TODAY، التي تقدم لك تاريخ اليوم. هذه دالات متغيرة أو مباشرة، لذا عندما تفتح هذا المصنف الخاص بك غداً، سيكون لك تاريخ الغد. أدخل =TODAY() في الخلية D6.&#10;&#10;">
              <a:extLst>
                <a:ext uri="{FF2B5EF4-FFF2-40B4-BE49-F238E27FC236}">
                  <a16:creationId xmlns:a16="http://schemas.microsoft.com/office/drawing/2014/main" id="{2869B18E-B13C-49FB-B4C9-A2A2A69C0D27}"/>
                </a:ext>
              </a:extLst>
            </xdr:cNvPr>
            <xdr:cNvSpPr txBox="1"/>
          </xdr:nvSpPr>
          <xdr:spPr>
            <a:xfrm flipH="1">
              <a:off x="1017295" y="7852458"/>
              <a:ext cx="4778539" cy="706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ألق نظرة على الدالة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TODAY</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التي تقدم لك تاريخ اليوم. هذه دالات متغيرة أو مباشرة، لذا عندما تفتح هذا المصنف الخاص بك غداً، سيكون لك تاريخ الغد. أدخل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=TODAY()</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في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D6</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07" name="شكل_الخطوة" descr="1">
              <a:extLst>
                <a:ext uri="{FF2B5EF4-FFF2-40B4-BE49-F238E27FC236}">
                  <a16:creationId xmlns:a16="http://schemas.microsoft.com/office/drawing/2014/main" id="{DAFBA7DB-90FE-4D29-BEDA-99F5C45CAE41}"/>
                </a:ext>
              </a:extLst>
            </xdr:cNvPr>
            <xdr:cNvSpPr/>
          </xdr:nvSpPr>
          <xdr:spPr>
            <a:xfrm flipH="1">
              <a:off x="600549"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114" name="مجموعة_الخطوات" descr="طرح التواريخ - أدخل تاريخ ميلادك القادم بالتنسيق ش ش/ي ي/س س وسترى Excel يخبرك بعدد الأيام المتبقية عليه باستخدام =D7-D6.&#10;">
            <a:extLst>
              <a:ext uri="{FF2B5EF4-FFF2-40B4-BE49-F238E27FC236}">
                <a16:creationId xmlns:a16="http://schemas.microsoft.com/office/drawing/2014/main" id="{8949AC7E-881F-4686-B2D3-0D3D90D9B1DC}"/>
              </a:ext>
            </a:extLst>
          </xdr:cNvPr>
          <xdr:cNvGrpSpPr/>
        </xdr:nvGrpSpPr>
        <xdr:grpSpPr>
          <a:xfrm>
            <a:off x="561975" y="2409825"/>
            <a:ext cx="5448300" cy="615257"/>
            <a:chOff x="609600" y="7810500"/>
            <a:chExt cx="5186234" cy="596207"/>
          </a:xfrm>
        </xdr:grpSpPr>
        <xdr:sp macro="" textlink="">
          <xdr:nvSpPr>
            <xdr:cNvPr id="115" name="نص_ الخطوة" descr="طرح التواريخ - أدخل تاريخ ميلادك القادم بالتنسيق ش ش/ي ي/س س في الخلية D7، وسترى Excel يخبرك بعدد الأيام المتبقية عليه باستخدام =D7-D6 في الخلية D8.&#10;&#10;">
              <a:extLst>
                <a:ext uri="{FF2B5EF4-FFF2-40B4-BE49-F238E27FC236}">
                  <a16:creationId xmlns:a16="http://schemas.microsoft.com/office/drawing/2014/main" id="{674AF6D9-AA9C-4D64-BAE7-B4CD50116B71}"/>
                </a:ext>
              </a:extLst>
            </xdr:cNvPr>
            <xdr:cNvSpPr txBox="1"/>
          </xdr:nvSpPr>
          <xdr:spPr>
            <a:xfrm flipH="1">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طرح التواريخ</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أدخل تاريخ ميلادك القادم بالتنسيق شهر/يوم/سنة في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D7</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وسترى Excel يخبرك بعدد الأيام المتبقية عليه باستخدام</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=D7-D6</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في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D8</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16" name="شكل_الخطوة" descr="2">
              <a:extLst>
                <a:ext uri="{FF2B5EF4-FFF2-40B4-BE49-F238E27FC236}">
                  <a16:creationId xmlns:a16="http://schemas.microsoft.com/office/drawing/2014/main" id="{E34DF662-0D83-4816-83DC-20F2E0EC0120}"/>
                </a:ext>
              </a:extLst>
            </xdr:cNvPr>
            <xdr:cNvSpPr/>
          </xdr:nvSpPr>
          <xdr:spPr>
            <a:xfrm flipH="1">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nvGrpSpPr>
          <xdr:cNvPr id="117" name="مجموعة_الخطوات">
            <a:extLst>
              <a:ext uri="{FF2B5EF4-FFF2-40B4-BE49-F238E27FC236}">
                <a16:creationId xmlns:a16="http://schemas.microsoft.com/office/drawing/2014/main" id="{8475192F-E42A-4700-8E84-BC6112DACD7C}"/>
              </a:ext>
            </a:extLst>
          </xdr:cNvPr>
          <xdr:cNvGrpSpPr/>
        </xdr:nvGrpSpPr>
        <xdr:grpSpPr>
          <a:xfrm>
            <a:off x="561977" y="3019421"/>
            <a:ext cx="5457825" cy="894728"/>
            <a:chOff x="627640" y="7810500"/>
            <a:chExt cx="5168194" cy="880659"/>
          </a:xfrm>
        </xdr:grpSpPr>
        <xdr:sp macro="" textlink="">
          <xdr:nvSpPr>
            <xdr:cNvPr id="118" name="نص_ الخطوة" descr="إضافة تواريخ - لنفترض أنك تريد معرفة تاريخ الفاتورة المستحق، أو عندما تحتاج إلى إرجاع كتاب إلى المكتبة. في الخلية D10، أدخل رقماً عشوائياً للأيام. في الخلية D11، قمنا بإضافة =D6+D10 لحساب تاريخ الاستحقاق من اليوم.&#10;&#10;">
              <a:extLst>
                <a:ext uri="{FF2B5EF4-FFF2-40B4-BE49-F238E27FC236}">
                  <a16:creationId xmlns:a16="http://schemas.microsoft.com/office/drawing/2014/main" id="{37BB0272-2987-4A11-B2B1-9F0CA7972BC1}"/>
                </a:ext>
              </a:extLst>
            </xdr:cNvPr>
            <xdr:cNvSpPr txBox="1"/>
          </xdr:nvSpPr>
          <xdr:spPr>
            <a:xfrm flipH="1">
              <a:off x="1017295" y="7852458"/>
              <a:ext cx="4778539" cy="838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إضافة تواريخ</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 لنفترض أنك تريد معرفة تاريخ الفاتورة المستحق، أو عندما تحتاج إلى إرجاع كتاب إلى المكتبة. يمكنك إضافة أيام إلى تاريخ للتعرف عليه. في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D10</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أدخل رقماً عشوائياً للأيام. في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D11</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قمنا بإضافة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=D6+D10</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لحساب تاريخ الاستحقاق من اليوم.</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19" name="شكل_الخطوة" descr="3">
              <a:extLst>
                <a:ext uri="{FF2B5EF4-FFF2-40B4-BE49-F238E27FC236}">
                  <a16:creationId xmlns:a16="http://schemas.microsoft.com/office/drawing/2014/main" id="{824C0607-47BE-4C56-BBB4-6FA6522CE93B}"/>
                </a:ext>
              </a:extLst>
            </xdr:cNvPr>
            <xdr:cNvSpPr/>
          </xdr:nvSpPr>
          <xdr:spPr>
            <a:xfrm flipH="1">
              <a:off x="62764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grpSp>
    </xdr:grpSp>
    <xdr:clientData/>
  </xdr:twoCellAnchor>
  <xdr:twoCellAnchor editAs="absolute">
    <xdr:from>
      <xdr:col>0</xdr:col>
      <xdr:colOff>342900</xdr:colOff>
      <xdr:row>18</xdr:row>
      <xdr:rowOff>79375</xdr:rowOff>
    </xdr:from>
    <xdr:to>
      <xdr:col>1</xdr:col>
      <xdr:colOff>5162550</xdr:colOff>
      <xdr:row>62</xdr:row>
      <xdr:rowOff>112217</xdr:rowOff>
    </xdr:to>
    <xdr:grpSp>
      <xdr:nvGrpSpPr>
        <xdr:cNvPr id="3" name="المجموعة 2">
          <a:extLst>
            <a:ext uri="{FF2B5EF4-FFF2-40B4-BE49-F238E27FC236}">
              <a16:creationId xmlns:a16="http://schemas.microsoft.com/office/drawing/2014/main" id="{1795FAE7-51BD-4A4A-B2DF-46B6749784D2}"/>
            </a:ext>
          </a:extLst>
        </xdr:cNvPr>
        <xdr:cNvGrpSpPr/>
      </xdr:nvGrpSpPr>
      <xdr:grpSpPr>
        <a:xfrm flipH="1">
          <a:off x="11237442600" y="4203700"/>
          <a:ext cx="5781675" cy="8043367"/>
          <a:chOff x="342900" y="4248150"/>
          <a:chExt cx="5734050" cy="8404324"/>
        </a:xfrm>
      </xdr:grpSpPr>
      <xdr:grpSp>
        <xdr:nvGrpSpPr>
          <xdr:cNvPr id="120" name="مجموعة 119">
            <a:extLst>
              <a:ext uri="{FF2B5EF4-FFF2-40B4-BE49-F238E27FC236}">
                <a16:creationId xmlns:a16="http://schemas.microsoft.com/office/drawing/2014/main" id="{30906B4C-C81D-469A-8247-06F91D944EB2}"/>
              </a:ext>
            </a:extLst>
          </xdr:cNvPr>
          <xdr:cNvGrpSpPr/>
        </xdr:nvGrpSpPr>
        <xdr:grpSpPr>
          <a:xfrm>
            <a:off x="342900" y="4248150"/>
            <a:ext cx="5734050" cy="8404324"/>
            <a:chOff x="352425" y="4591050"/>
            <a:chExt cx="5734050" cy="8058150"/>
          </a:xfrm>
        </xdr:grpSpPr>
        <xdr:sp macro="" textlink="">
          <xdr:nvSpPr>
            <xdr:cNvPr id="121" name="نص_خلفية الجولة" descr="الخلفية">
              <a:extLst>
                <a:ext uri="{FF2B5EF4-FFF2-40B4-BE49-F238E27FC236}">
                  <a16:creationId xmlns:a16="http://schemas.microsoft.com/office/drawing/2014/main" id="{013EE55B-07EC-4D50-A659-7ADD2D0198D2}"/>
                </a:ext>
              </a:extLst>
            </xdr:cNvPr>
            <xdr:cNvSpPr/>
          </xdr:nvSpPr>
          <xdr:spPr>
            <a:xfrm flipH="1">
              <a:off x="352425" y="4591050"/>
              <a:ext cx="5734050" cy="8058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22" name="نص_عنوان الجولة" descr="دالات الوقت">
              <a:extLst>
                <a:ext uri="{FF2B5EF4-FFF2-40B4-BE49-F238E27FC236}">
                  <a16:creationId xmlns:a16="http://schemas.microsoft.com/office/drawing/2014/main" id="{E209722A-2C8C-4791-B9C1-5101AA32AB0A}"/>
                </a:ext>
              </a:extLst>
            </xdr:cNvPr>
            <xdr:cNvSpPr txBox="1"/>
          </xdr:nvSpPr>
          <xdr:spPr>
            <a:xfrm flipH="1">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دالات الوقت</a:t>
              </a:r>
            </a:p>
          </xdr:txBody>
        </xdr:sp>
        <xdr:cxnSp macro="">
          <xdr:nvCxnSpPr>
            <xdr:cNvPr id="123" name="نص_سطر الجولة 1" descr="سطر مزخرف">
              <a:extLst>
                <a:ext uri="{FF2B5EF4-FFF2-40B4-BE49-F238E27FC236}">
                  <a16:creationId xmlns:a16="http://schemas.microsoft.com/office/drawing/2014/main" id="{75A87590-4FA0-4D28-B7A3-E1F7CCD88B3B}"/>
                </a:ext>
              </a:extLst>
            </xdr:cNvPr>
            <xdr:cNvCxnSpPr>
              <a:cxnSpLocks/>
            </xdr:cNvCxnSpPr>
          </xdr:nvCxnSpPr>
          <xdr:spPr>
            <a:xfrm flipH="1">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نص_سطر الجولة 2" descr="سطر مزخرف">
              <a:extLst>
                <a:ext uri="{FF2B5EF4-FFF2-40B4-BE49-F238E27FC236}">
                  <a16:creationId xmlns:a16="http://schemas.microsoft.com/office/drawing/2014/main" id="{A703583B-6374-4690-B8BC-8D6A61F4DB52}"/>
                </a:ext>
              </a:extLst>
            </xdr:cNvPr>
            <xdr:cNvCxnSpPr>
              <a:cxnSpLocks/>
            </xdr:cNvCxnSpPr>
          </xdr:nvCxnSpPr>
          <xdr:spPr>
            <a:xfrm flipH="1">
              <a:off x="589309" y="1203589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نص_مقدمة الجولة" descr="يمكن أن يقدم لك Excel الوقت الحالي، استناداً إلى الإعدادات الإقليمية للكمبيوتر الخاص بك. يمكنك أيضاً إضافة أوقات وطرحها. على سبيل المثال، قد تحتاج إلى تعقب عدد الساعات التي عملها الموظف كل أسبوع، وحساب الأجر والعمل الإضافي له.&#10;&#10;">
              <a:extLst>
                <a:ext uri="{FF2B5EF4-FFF2-40B4-BE49-F238E27FC236}">
                  <a16:creationId xmlns:a16="http://schemas.microsoft.com/office/drawing/2014/main" id="{D8BC11B9-1B82-45F8-A69B-BA51910C6977}"/>
                </a:ext>
              </a:extLst>
            </xdr:cNvPr>
            <xdr:cNvSpPr txBox="1"/>
          </xdr:nvSpPr>
          <xdr:spPr>
            <a:xfrm flipH="1">
              <a:off x="586111" y="5294307"/>
              <a:ext cx="5222183" cy="667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يمكن أن يقدم لك Excel الوقت الحالي، استناداً إلى الإعدادات الإقليمية للكمبيوتر الخاص بك. يمكنك أيضاً إضافة أوقات وطرحها. على سبيل المثال، قد تحتاج إلى تعقب عدد الساعات التي عملها الموظف كل أسبوع، وحساب الأجر والعمل الإضافي له.</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grpSp>
          <xdr:nvGrpSpPr>
            <xdr:cNvPr id="126" name="المجموعة 125">
              <a:extLst>
                <a:ext uri="{FF2B5EF4-FFF2-40B4-BE49-F238E27FC236}">
                  <a16:creationId xmlns:a16="http://schemas.microsoft.com/office/drawing/2014/main" id="{51E7C080-AEB7-4E6C-8D70-3BBDC2303676}"/>
                </a:ext>
              </a:extLst>
            </xdr:cNvPr>
            <xdr:cNvGrpSpPr/>
          </xdr:nvGrpSpPr>
          <xdr:grpSpPr>
            <a:xfrm>
              <a:off x="581025" y="6096000"/>
              <a:ext cx="5335412" cy="5829301"/>
              <a:chOff x="7200900" y="1143000"/>
              <a:chExt cx="5335412" cy="5829301"/>
            </a:xfrm>
          </xdr:grpSpPr>
          <xdr:grpSp>
            <xdr:nvGrpSpPr>
              <xdr:cNvPr id="127" name="مجموعة_الخطوات">
                <a:extLst>
                  <a:ext uri="{FF2B5EF4-FFF2-40B4-BE49-F238E27FC236}">
                    <a16:creationId xmlns:a16="http://schemas.microsoft.com/office/drawing/2014/main" id="{AAE10329-58E6-4043-B19B-2070B24369C8}"/>
                  </a:ext>
                </a:extLst>
              </xdr:cNvPr>
              <xdr:cNvGrpSpPr/>
            </xdr:nvGrpSpPr>
            <xdr:grpSpPr>
              <a:xfrm>
                <a:off x="7200900" y="1143000"/>
                <a:ext cx="5206583" cy="720603"/>
                <a:chOff x="495420" y="7810500"/>
                <a:chExt cx="5201275" cy="720603"/>
              </a:xfrm>
            </xdr:grpSpPr>
            <xdr:sp macro="" textlink="">
              <xdr:nvSpPr>
                <xdr:cNvPr id="149" name="نص_ الخطوة" descr="في الخلية D28، أدخل =NOW()، حيث يتم تقديم الوقت الحالي، وسيتم تحديث كل وقت يحتسبه Excel. إذا كنت بحاجة إلى تغيير تنسيق الوقت، يمكنك الانتقال إلى Ctrl+1 &gt; رقم &gt; وقت &gt; تحديد التنسيق الذي تريده.&#10;&#10;&#10;&#10;">
                  <a:extLst>
                    <a:ext uri="{FF2B5EF4-FFF2-40B4-BE49-F238E27FC236}">
                      <a16:creationId xmlns:a16="http://schemas.microsoft.com/office/drawing/2014/main" id="{E9EDD045-804A-43D1-9571-BDF7D36C6FD0}"/>
                    </a:ext>
                  </a:extLst>
                </xdr:cNvPr>
                <xdr:cNvSpPr txBox="1"/>
              </xdr:nvSpPr>
              <xdr:spPr>
                <a:xfrm flipH="1">
                  <a:off x="918156" y="7852457"/>
                  <a:ext cx="4778539" cy="678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في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D28</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أدخل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=NOW()</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حيث يتم تقديم الوقت الحالي، وسيتم تحديث كل وقت يحتسبه Excel. إذا كنت بحاجة إلى تغيير تنسيق الوقت، يمكنك الانتقال إلى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Ctrl</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+1</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&gt;</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رقم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&gt;</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وقت</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&gt; تحديد التنسيق الذي تريده.</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50" name="شكل_الخطوة" descr="1">
                  <a:extLst>
                    <a:ext uri="{FF2B5EF4-FFF2-40B4-BE49-F238E27FC236}">
                      <a16:creationId xmlns:a16="http://schemas.microsoft.com/office/drawing/2014/main" id="{43143942-F7A9-4AD3-81E2-7C90A9BD32F5}"/>
                    </a:ext>
                  </a:extLst>
                </xdr:cNvPr>
                <xdr:cNvSpPr/>
              </xdr:nvSpPr>
              <xdr:spPr>
                <a:xfrm flipH="1">
                  <a:off x="49542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128" name="مجموعة_الخطوات">
                <a:extLst>
                  <a:ext uri="{FF2B5EF4-FFF2-40B4-BE49-F238E27FC236}">
                    <a16:creationId xmlns:a16="http://schemas.microsoft.com/office/drawing/2014/main" id="{FCFD70FD-C355-4B74-9752-B828C322CD76}"/>
                  </a:ext>
                </a:extLst>
              </xdr:cNvPr>
              <xdr:cNvGrpSpPr/>
            </xdr:nvGrpSpPr>
            <xdr:grpSpPr>
              <a:xfrm>
                <a:off x="7200900" y="1844651"/>
                <a:ext cx="5159775" cy="1249116"/>
                <a:chOff x="525612" y="7419975"/>
                <a:chExt cx="5511381" cy="1195615"/>
              </a:xfrm>
            </xdr:grpSpPr>
            <xdr:sp macro="" textlink="">
              <xdr:nvSpPr>
                <xdr:cNvPr id="147" name="نص_ الخطوة" descr="إضافة ساعات بين الأوقات - في الخلية D36 قمنا بإدخال =((D35-D32)-(D34-D33))*24، حيث تحسب أوقات البدء والنهاية لشخص ما، ثم تطرح الوقت الذي استغرقه لتناول الغداء. تحول *24 الموجودة في نهاية الصيغة الجزء الكسري من اليوم الذي يراه Excel إلى ساعات. سوف تحتاج إلى تنسيق الخلية كالرقم. للقيام بذلك، انتقل إلى الصفحة الرئيسية &gt; تنسيق &gt; الخلايا (Ctrl+1) &gt; رقم &gt; رقم &gt; رقمين عشريين.&#10;&#10;&#10;">
                  <a:extLst>
                    <a:ext uri="{FF2B5EF4-FFF2-40B4-BE49-F238E27FC236}">
                      <a16:creationId xmlns:a16="http://schemas.microsoft.com/office/drawing/2014/main" id="{0EFBDF0F-AC77-476D-A83B-91831148AC0B}"/>
                    </a:ext>
                  </a:extLst>
                </xdr:cNvPr>
                <xdr:cNvSpPr txBox="1"/>
              </xdr:nvSpPr>
              <xdr:spPr>
                <a:xfrm flipH="1">
                  <a:off x="977615" y="7459921"/>
                  <a:ext cx="5059378" cy="1155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إضافة ساعات بين الأوقات</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في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D36</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قمنا بإدخال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=((D35-D32)-(D34-D33))*24</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حيث تحسب أوقات البدء والنهاية لشخص ما، ثم تطرح الوقت الذي استغرقه لتناول الغداء. تحول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24</a:t>
                  </a:r>
                  <a:r>
                    <a:rPr lang="ar-SA"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الموجودة في نهاية الصيغة الجزء الكسري من اليوم الذي يراه Excel إلى ساعات. بالرغم من ذلك يجب تنسيق الخلية كرقم. للقيام بذلك، انتقل إلى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الصفحة الرئيسية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&gt;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تنسيق الخلايا</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(Ctrl</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+1</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&gt;</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رقم</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&gt;</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رقم</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&gt; رقمين عشريين.</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48" name="شكل_الخطوة" descr="2">
                  <a:extLst>
                    <a:ext uri="{FF2B5EF4-FFF2-40B4-BE49-F238E27FC236}">
                      <a16:creationId xmlns:a16="http://schemas.microsoft.com/office/drawing/2014/main" id="{01C2BD5A-43C6-4B2A-81C9-44F9293E1619}"/>
                    </a:ext>
                  </a:extLst>
                </xdr:cNvPr>
                <xdr:cNvSpPr/>
              </xdr:nvSpPr>
              <xdr:spPr>
                <a:xfrm flipH="1">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nvGrpSpPr>
              <xdr:cNvPr id="129" name="مجموعة_الخطوات">
                <a:extLst>
                  <a:ext uri="{FF2B5EF4-FFF2-40B4-BE49-F238E27FC236}">
                    <a16:creationId xmlns:a16="http://schemas.microsoft.com/office/drawing/2014/main" id="{37BDA65B-35DA-46DF-B41B-4F13939916CE}"/>
                  </a:ext>
                </a:extLst>
              </xdr:cNvPr>
              <xdr:cNvGrpSpPr/>
            </xdr:nvGrpSpPr>
            <xdr:grpSpPr>
              <a:xfrm>
                <a:off x="7200900" y="3157535"/>
                <a:ext cx="5335412" cy="1105441"/>
                <a:chOff x="525612" y="7419975"/>
                <a:chExt cx="5698988" cy="1058095"/>
              </a:xfrm>
            </xdr:grpSpPr>
            <xdr:sp macro="" textlink="">
              <xdr:nvSpPr>
                <xdr:cNvPr id="145" name="نص_ الخطوة" descr="إذا كان يمكن للصيغة أن تتحدث فالرسالة كالآتي &quot;حساب وقت الانصراف وطرحه من وقت الحضور، ثم طرح أوقات تسجيل الخروج/الدخول للغداء، ثم ضرب كل هذا في 24 لتحويل الأجزاء الكسرية من الوقت في Excel إلى ساعات&quot;، أو =((Time In - Time Out)-(Lunch In - Lunch Out))*24.">
                  <a:extLst>
                    <a:ext uri="{FF2B5EF4-FFF2-40B4-BE49-F238E27FC236}">
                      <a16:creationId xmlns:a16="http://schemas.microsoft.com/office/drawing/2014/main" id="{48EA3D5E-AB73-4DC6-A8F8-8EECF1D29572}"/>
                    </a:ext>
                  </a:extLst>
                </xdr:cNvPr>
                <xdr:cNvSpPr txBox="1"/>
              </xdr:nvSpPr>
              <xdr:spPr>
                <a:xfrm flipH="1">
                  <a:off x="977616" y="7459922"/>
                  <a:ext cx="5246984" cy="101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إذا كان يمكن للصيغة أن تتحدث فالرسالة كالآتي "حساب وقت الانصراف وطرحه من وقت الحضور، ثم طرح أوقات تسجيل الخروج/الدخول للغداء، ثم ضرب كل هذا في 24 لتحويل الأجزاء الكسرية من الوقت في Excel إلى ساعات"، أو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r>
                    <a:rPr lang="ar-SA"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وقت الانصراف</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 </a:t>
                  </a:r>
                  <a:r>
                    <a:rPr lang="ar-SA"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وقت الحضور</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r>
                    <a:rPr lang="ar-SA"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تسجيل الدخول للغداء</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SA"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تسجيل الخروج للغداء))*24</a:t>
                  </a:r>
                  <a:endPar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46" name="شكل_الخطوة" descr="3">
                  <a:extLst>
                    <a:ext uri="{FF2B5EF4-FFF2-40B4-BE49-F238E27FC236}">
                      <a16:creationId xmlns:a16="http://schemas.microsoft.com/office/drawing/2014/main" id="{A80445FC-915C-4C80-84C7-4F5844E68106}"/>
                    </a:ext>
                  </a:extLst>
                </xdr:cNvPr>
                <xdr:cNvSpPr/>
              </xdr:nvSpPr>
              <xdr:spPr>
                <a:xfrm flipH="1">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grpSp>
          <xdr:grpSp>
            <xdr:nvGrpSpPr>
              <xdr:cNvPr id="130" name="مجموعة 129">
                <a:extLst>
                  <a:ext uri="{FF2B5EF4-FFF2-40B4-BE49-F238E27FC236}">
                    <a16:creationId xmlns:a16="http://schemas.microsoft.com/office/drawing/2014/main" id="{DF713144-AD4F-445E-9EBF-373B4699DB59}"/>
                  </a:ext>
                </a:extLst>
              </xdr:cNvPr>
              <xdr:cNvGrpSpPr/>
            </xdr:nvGrpSpPr>
            <xdr:grpSpPr>
              <a:xfrm>
                <a:off x="7357748" y="3943247"/>
                <a:ext cx="4702942" cy="3029054"/>
                <a:chOff x="7244567" y="3993201"/>
                <a:chExt cx="5005657" cy="2873898"/>
              </a:xfrm>
            </xdr:grpSpPr>
            <xdr:sp macro="" textlink="">
              <xdr:nvSpPr>
                <xdr:cNvPr id="131" name="قوس الصيغة السفلي">
                  <a:extLst>
                    <a:ext uri="{FF2B5EF4-FFF2-40B4-BE49-F238E27FC236}">
                      <a16:creationId xmlns:a16="http://schemas.microsoft.com/office/drawing/2014/main" id="{A3F3B087-00D2-476D-AC4C-EB3A04318A49}"/>
                    </a:ext>
                  </a:extLst>
                </xdr:cNvPr>
                <xdr:cNvSpPr/>
              </xdr:nvSpPr>
              <xdr:spPr>
                <a:xfrm rot="5400000" flipH="1">
                  <a:off x="10491811" y="5105762"/>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132" name="قوس الصيغة العلوي">
                  <a:extLst>
                    <a:ext uri="{FF2B5EF4-FFF2-40B4-BE49-F238E27FC236}">
                      <a16:creationId xmlns:a16="http://schemas.microsoft.com/office/drawing/2014/main" id="{7C65B1CB-F7F0-4F37-A997-175F5CFFD7C0}"/>
                    </a:ext>
                  </a:extLst>
                </xdr:cNvPr>
                <xdr:cNvSpPr/>
              </xdr:nvSpPr>
              <xdr:spPr>
                <a:xfrm rot="16200000" flipH="1">
                  <a:off x="8080265" y="4437647"/>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133" name="قوس الصيغة العلوي">
                  <a:extLst>
                    <a:ext uri="{FF2B5EF4-FFF2-40B4-BE49-F238E27FC236}">
                      <a16:creationId xmlns:a16="http://schemas.microsoft.com/office/drawing/2014/main" id="{CF6D3514-478A-4DBA-A8E4-F612350013B5}"/>
                    </a:ext>
                  </a:extLst>
                </xdr:cNvPr>
                <xdr:cNvSpPr/>
              </xdr:nvSpPr>
              <xdr:spPr>
                <a:xfrm rot="16200000" flipH="1">
                  <a:off x="11142973" y="4433686"/>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134" name="نص_الصيغة" descr="=((D35-D32)-(D34-D33))*24&#10;">
                  <a:extLst>
                    <a:ext uri="{FF2B5EF4-FFF2-40B4-BE49-F238E27FC236}">
                      <a16:creationId xmlns:a16="http://schemas.microsoft.com/office/drawing/2014/main" id="{6009CED5-1433-4E1F-B008-D29EAE95FC7A}"/>
                    </a:ext>
                  </a:extLst>
                </xdr:cNvPr>
                <xdr:cNvSpPr txBox="1"/>
              </xdr:nvSpPr>
              <xdr:spPr>
                <a:xfrm flipH="1">
                  <a:off x="8068748" y="4886325"/>
                  <a:ext cx="4181476"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1" anchor="t"/>
                <a:lstStyle/>
                <a:p>
                  <a:pPr marL="0" marR="0" rtl="1">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=((D35-D32)-(D34-D33))*24</a:t>
                  </a:r>
                  <a:endParaRPr lang="en-US" sz="2000">
                    <a:effectLst/>
                    <a:latin typeface="Courier New" panose="02070309020205020404" pitchFamily="49" charset="0"/>
                    <a:ea typeface="Times New Roman" panose="02020603050405020304" pitchFamily="18" charset="0"/>
                    <a:cs typeface="Courier New" panose="02070309020205020404" pitchFamily="49" charset="0"/>
                  </a:endParaRPr>
                </a:p>
              </xdr:txBody>
            </xdr:sp>
            <xdr:sp macro="" textlink="">
              <xdr:nvSpPr>
                <xdr:cNvPr id="135" name="نص_ وسيلة شرح الصيغة العلوية" descr="وقت الانصراف&#10;&#10;">
                  <a:extLst>
                    <a:ext uri="{FF2B5EF4-FFF2-40B4-BE49-F238E27FC236}">
                      <a16:creationId xmlns:a16="http://schemas.microsoft.com/office/drawing/2014/main" id="{9F9E3A72-C781-4703-B4D3-DB7F87F8E5A1}"/>
                    </a:ext>
                  </a:extLst>
                </xdr:cNvPr>
                <xdr:cNvSpPr txBox="1">
                  <a:spLocks noChangeArrowheads="1"/>
                </xdr:cNvSpPr>
              </xdr:nvSpPr>
              <xdr:spPr bwMode="auto">
                <a:xfrm flipH="1">
                  <a:off x="10785766" y="4293370"/>
                  <a:ext cx="1192529"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algn="ctr"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وقت الانصراف</a:t>
                  </a:r>
                </a:p>
              </xdr:txBody>
            </xdr:sp>
            <xdr:sp macro="" textlink="">
              <xdr:nvSpPr>
                <xdr:cNvPr id="136" name="نص_ وسيلة شرح الصيغة العلوية" descr="*24 لتحويل الكسر العشري لليوم في Excel إلى ساعة&#10;&#10;">
                  <a:extLst>
                    <a:ext uri="{FF2B5EF4-FFF2-40B4-BE49-F238E27FC236}">
                      <a16:creationId xmlns:a16="http://schemas.microsoft.com/office/drawing/2014/main" id="{2C1C0812-CC81-4B65-BB0C-BE1F6D5C5B38}"/>
                    </a:ext>
                  </a:extLst>
                </xdr:cNvPr>
                <xdr:cNvSpPr txBox="1">
                  <a:spLocks noChangeArrowheads="1"/>
                </xdr:cNvSpPr>
              </xdr:nvSpPr>
              <xdr:spPr bwMode="auto">
                <a:xfrm flipH="1">
                  <a:off x="7244567" y="3993201"/>
                  <a:ext cx="1666872"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algn="ctr"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*24 لتحويل الكسر العشري لليوم في Excel إلى ساعة</a:t>
                  </a:r>
                </a:p>
              </xdr:txBody>
            </xdr:sp>
            <xdr:sp macro="" textlink="">
              <xdr:nvSpPr>
                <xdr:cNvPr id="137" name="نص_وسيلة شرح الصيغة السفلية" descr="وقت الحضور&#10;">
                  <a:extLst>
                    <a:ext uri="{FF2B5EF4-FFF2-40B4-BE49-F238E27FC236}">
                      <a16:creationId xmlns:a16="http://schemas.microsoft.com/office/drawing/2014/main" id="{5E5338FF-C2B1-4DA0-AE11-AC6DC9A18383}"/>
                    </a:ext>
                  </a:extLst>
                </xdr:cNvPr>
                <xdr:cNvSpPr txBox="1">
                  <a:spLocks noChangeArrowheads="1"/>
                </xdr:cNvSpPr>
              </xdr:nvSpPr>
              <xdr:spPr bwMode="auto">
                <a:xfrm flipH="1">
                  <a:off x="10242818" y="5456495"/>
                  <a:ext cx="966197" cy="274320"/>
                </a:xfrm>
                <a:prstGeom prst="rect">
                  <a:avLst/>
                </a:prstGeom>
                <a:solidFill>
                  <a:srgbClr val="E2F0D9"/>
                </a:solidFill>
                <a:ln w="9525">
                  <a:noFill/>
                  <a:miter lim="800000"/>
                  <a:headEnd/>
                  <a:tailEnd/>
                </a:ln>
              </xdr:spPr>
              <xdr:txBody>
                <a:bodyPr rot="0" vert="horz" wrap="square" lIns="91440" tIns="45720" rIns="91440" bIns="45720" rtlCol="1" anchor="t" anchorCtr="0">
                  <a:noAutofit/>
                </a:bodyPr>
                <a:lstStyle/>
                <a:p>
                  <a:pPr marL="0" marR="0" indent="0" algn="ctr"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وقت الحضور</a:t>
                  </a:r>
                </a:p>
              </xdr:txBody>
            </xdr:sp>
            <xdr:sp macro="" textlink="">
              <xdr:nvSpPr>
                <xdr:cNvPr id="138" name="قوس الصيغة السفلي">
                  <a:extLst>
                    <a:ext uri="{FF2B5EF4-FFF2-40B4-BE49-F238E27FC236}">
                      <a16:creationId xmlns:a16="http://schemas.microsoft.com/office/drawing/2014/main" id="{A4A9F5A5-EF16-4EE5-91AA-7223F0B363A9}"/>
                    </a:ext>
                  </a:extLst>
                </xdr:cNvPr>
                <xdr:cNvSpPr/>
              </xdr:nvSpPr>
              <xdr:spPr>
                <a:xfrm rot="5400000" flipH="1">
                  <a:off x="8882538" y="5110984"/>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139" name="قوس الصيغة العلوي">
                  <a:extLst>
                    <a:ext uri="{FF2B5EF4-FFF2-40B4-BE49-F238E27FC236}">
                      <a16:creationId xmlns:a16="http://schemas.microsoft.com/office/drawing/2014/main" id="{E9FAA5E1-CE6E-4068-9309-7BEC7468CAD9}"/>
                    </a:ext>
                  </a:extLst>
                </xdr:cNvPr>
                <xdr:cNvSpPr/>
              </xdr:nvSpPr>
              <xdr:spPr>
                <a:xfrm rot="16200000" flipH="1">
                  <a:off x="9528287" y="4429855"/>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140" name="نص_ وسيلة شرح الصيغة العلوية" descr="Lunch  Out&#10;">
                  <a:extLst>
                    <a:ext uri="{FF2B5EF4-FFF2-40B4-BE49-F238E27FC236}">
                      <a16:creationId xmlns:a16="http://schemas.microsoft.com/office/drawing/2014/main" id="{AC3DD593-CF51-4FD3-853B-AF9786C1FA03}"/>
                    </a:ext>
                  </a:extLst>
                </xdr:cNvPr>
                <xdr:cNvSpPr txBox="1">
                  <a:spLocks noChangeArrowheads="1"/>
                </xdr:cNvSpPr>
              </xdr:nvSpPr>
              <xdr:spPr bwMode="auto">
                <a:xfrm flipH="1">
                  <a:off x="8985994" y="4289538"/>
                  <a:ext cx="1556664"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algn="ctr"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تسجيل الدخول للغداء</a:t>
                  </a:r>
                </a:p>
              </xdr:txBody>
            </xdr:sp>
            <xdr:sp macro="" textlink="">
              <xdr:nvSpPr>
                <xdr:cNvPr id="141" name="نص_وسيلة شرح الصيغة السفلية" descr="تسجيل الدخول للغداء&#10;&#10;">
                  <a:extLst>
                    <a:ext uri="{FF2B5EF4-FFF2-40B4-BE49-F238E27FC236}">
                      <a16:creationId xmlns:a16="http://schemas.microsoft.com/office/drawing/2014/main" id="{B855D0A5-2977-4D62-AD0B-843A0716AFBA}"/>
                    </a:ext>
                  </a:extLst>
                </xdr:cNvPr>
                <xdr:cNvSpPr txBox="1">
                  <a:spLocks noChangeArrowheads="1"/>
                </xdr:cNvSpPr>
              </xdr:nvSpPr>
              <xdr:spPr bwMode="auto">
                <a:xfrm flipH="1">
                  <a:off x="8302285" y="5461717"/>
                  <a:ext cx="1628760" cy="274320"/>
                </a:xfrm>
                <a:prstGeom prst="rect">
                  <a:avLst/>
                </a:prstGeom>
                <a:solidFill>
                  <a:srgbClr val="E2F0D9"/>
                </a:solidFill>
                <a:ln w="9525">
                  <a:noFill/>
                  <a:miter lim="800000"/>
                  <a:headEnd/>
                  <a:tailEnd/>
                </a:ln>
              </xdr:spPr>
              <xdr:txBody>
                <a:bodyPr rot="0" vert="horz" wrap="square" lIns="91440" tIns="45720" rIns="91440" bIns="45720" rtlCol="1" anchor="t" anchorCtr="0">
                  <a:noAutofit/>
                </a:bodyPr>
                <a:lstStyle/>
                <a:p>
                  <a:pPr marL="0" marR="0" indent="0" algn="ctr"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تسجيل الخروج للغداء</a:t>
                  </a:r>
                </a:p>
              </xdr:txBody>
            </xdr:sp>
            <xdr:sp macro="" textlink="">
              <xdr:nvSpPr>
                <xdr:cNvPr id="142" name="قوس الصيغة السفلي">
                  <a:extLst>
                    <a:ext uri="{FF2B5EF4-FFF2-40B4-BE49-F238E27FC236}">
                      <a16:creationId xmlns:a16="http://schemas.microsoft.com/office/drawing/2014/main" id="{5250274B-2899-460D-B59C-3A1662F7E28C}"/>
                    </a:ext>
                  </a:extLst>
                </xdr:cNvPr>
                <xdr:cNvSpPr/>
              </xdr:nvSpPr>
              <xdr:spPr>
                <a:xfrm rot="5400000" flipH="1">
                  <a:off x="9182108" y="5511142"/>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143" name="قوس الصيغة السفلي">
                  <a:extLst>
                    <a:ext uri="{FF2B5EF4-FFF2-40B4-BE49-F238E27FC236}">
                      <a16:creationId xmlns:a16="http://schemas.microsoft.com/office/drawing/2014/main" id="{1D36D39A-C164-4F79-A807-42C3A0A9EA22}"/>
                    </a:ext>
                  </a:extLst>
                </xdr:cNvPr>
                <xdr:cNvSpPr/>
              </xdr:nvSpPr>
              <xdr:spPr>
                <a:xfrm rot="5400000" flipH="1">
                  <a:off x="10731732" y="550637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144" name="نص_وسيلة شرح الصيغة السفلية" descr="The inner parentheses () make sure Excel calculates those                                   parts of the formula by themselves. The outer parentheses make sure Excel multiplies the final inner result by 24.&#10;&#10;">
                  <a:extLst>
                    <a:ext uri="{FF2B5EF4-FFF2-40B4-BE49-F238E27FC236}">
                      <a16:creationId xmlns:a16="http://schemas.microsoft.com/office/drawing/2014/main" id="{791ADF03-B2CC-43DD-B52D-595B3D32B386}"/>
                    </a:ext>
                  </a:extLst>
                </xdr:cNvPr>
                <xdr:cNvSpPr txBox="1">
                  <a:spLocks noChangeArrowheads="1"/>
                </xdr:cNvSpPr>
              </xdr:nvSpPr>
              <xdr:spPr bwMode="auto">
                <a:xfrm flipH="1">
                  <a:off x="7977201" y="6276974"/>
                  <a:ext cx="4167174"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indent="0" algn="ctr"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الأقواس الداخلية () تؤكد أن Excel يحسب هذه الأجزاء من الصيغة بنفسها. القوسان الخارجيان يؤكدان أن Excel ضرب</a:t>
                  </a:r>
                  <a:r>
                    <a:rPr lang="ar" sz="1100" baseline="0">
                      <a:effectLst/>
                      <a:latin typeface="Tahoma" panose="020B0604030504040204" pitchFamily="34" charset="0"/>
                      <a:ea typeface="Calibri" panose="020F0502020204030204" pitchFamily="34" charset="0"/>
                      <a:cs typeface="Tahoma" panose="020B0604030504040204" pitchFamily="34" charset="0"/>
                    </a:rPr>
                    <a:t> النتيجة داخلية النهائية في 24.</a:t>
                  </a:r>
                  <a:endParaRPr lang="en-US" sz="1100">
                    <a:effectLst/>
                    <a:latin typeface="Tahoma" panose="020B0604030504040204" pitchFamily="34" charset="0"/>
                    <a:ea typeface="Calibri" panose="020F0502020204030204" pitchFamily="34" charset="0"/>
                    <a:cs typeface="Tahoma" panose="020B0604030504040204" pitchFamily="34" charset="0"/>
                  </a:endParaRPr>
                </a:p>
              </xdr:txBody>
            </xdr:sp>
          </xdr:grpSp>
        </xdr:grpSp>
      </xdr:grpSp>
      <xdr:sp macro="" textlink="">
        <xdr:nvSpPr>
          <xdr:cNvPr id="151" name="الزر_السابق" descr="الرجوع إلى الورقة السابقة">
            <a:hlinkClick xmlns:r="http://schemas.openxmlformats.org/officeDocument/2006/relationships" r:id="rId3" tooltip="انقر هنا للعودة إلى الورقة السابقة"/>
            <a:extLst>
              <a:ext uri="{FF2B5EF4-FFF2-40B4-BE49-F238E27FC236}">
                <a16:creationId xmlns:a16="http://schemas.microsoft.com/office/drawing/2014/main" id="{FCEE4E56-0B89-4F5D-A0A7-90EECC03D116}"/>
              </a:ext>
            </a:extLst>
          </xdr:cNvPr>
          <xdr:cNvSpPr/>
        </xdr:nvSpPr>
        <xdr:spPr>
          <a:xfrm flipH="1">
            <a:off x="609600"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sp macro="" textlink="">
        <xdr:nvSpPr>
          <xdr:cNvPr id="152" name="الزر_التالي" descr="التقدم إلى الورقة التالية">
            <a:hlinkClick xmlns:r="http://schemas.openxmlformats.org/officeDocument/2006/relationships" r:id="rId4" tooltip="انقر هنا للتقدم إلى الورقة التالية"/>
            <a:extLst>
              <a:ext uri="{FF2B5EF4-FFF2-40B4-BE49-F238E27FC236}">
                <a16:creationId xmlns:a16="http://schemas.microsoft.com/office/drawing/2014/main" id="{892C894D-1A63-4276-98DF-57872191F092}"/>
              </a:ext>
            </a:extLst>
          </xdr:cNvPr>
          <xdr:cNvSpPr/>
        </xdr:nvSpPr>
        <xdr:spPr>
          <a:xfrm>
            <a:off x="4532361"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grpSp>
    <xdr:clientData/>
  </xdr:twoCellAnchor>
  <xdr:twoCellAnchor editAs="absolute">
    <xdr:from>
      <xdr:col>1</xdr:col>
      <xdr:colOff>5676900</xdr:colOff>
      <xdr:row>47</xdr:row>
      <xdr:rowOff>172003</xdr:rowOff>
    </xdr:from>
    <xdr:to>
      <xdr:col>4</xdr:col>
      <xdr:colOff>200025</xdr:colOff>
      <xdr:row>57</xdr:row>
      <xdr:rowOff>158753</xdr:rowOff>
    </xdr:to>
    <xdr:grpSp>
      <xdr:nvGrpSpPr>
        <xdr:cNvPr id="153" name="المجموعة 152">
          <a:extLst>
            <a:ext uri="{FF2B5EF4-FFF2-40B4-BE49-F238E27FC236}">
              <a16:creationId xmlns:a16="http://schemas.microsoft.com/office/drawing/2014/main" id="{5099300F-1CF9-4951-9904-72E39FABE751}"/>
            </a:ext>
          </a:extLst>
        </xdr:cNvPr>
        <xdr:cNvGrpSpPr/>
      </xdr:nvGrpSpPr>
      <xdr:grpSpPr>
        <a:xfrm flipH="1">
          <a:off x="11233203975" y="9592228"/>
          <a:ext cx="3724275" cy="1796500"/>
          <a:chOff x="6391275" y="8320481"/>
          <a:chExt cx="3190875" cy="1652194"/>
        </a:xfrm>
      </xdr:grpSpPr>
      <xdr:sp macro="" textlink="">
        <xdr:nvSpPr>
          <xdr:cNvPr id="154" name="الخطوة" descr="GOOD TO KNOW&#10;You can use keyboard shortcuts to enter Dates and Times that won't continuously change:&#10;&#10;Date - Ctl+; &#10;Time - Ctrl+Shift+:&#10;">
            <a:extLst>
              <a:ext uri="{FF2B5EF4-FFF2-40B4-BE49-F238E27FC236}">
                <a16:creationId xmlns:a16="http://schemas.microsoft.com/office/drawing/2014/main" id="{B34ACC4B-6898-43D7-8CE0-22EF795B1C15}"/>
              </a:ext>
            </a:extLst>
          </xdr:cNvPr>
          <xdr:cNvSpPr txBox="1"/>
        </xdr:nvSpPr>
        <xdr:spPr>
          <a:xfrm flipH="1">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من الرائع معرفة أنه</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يمكنك استخدام اختصارات لوحة المفاتيح لإدخال التواريخ والأوقات التي لن تتغير باستمرار:</a:t>
            </a:r>
          </a:p>
          <a:p>
            <a:pPr algn="ctr" rtl="1" eaLnBrk="1" fontAlgn="auto" latinLnBrk="0" hangingPunct="1"/>
            <a:endPar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endParaRPr>
          </a:p>
          <a:p>
            <a:pPr algn="ct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التاريخ - </a:t>
            </a:r>
            <a:r>
              <a:rPr lang="en-US"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Ctrl+;</a:t>
            </a:r>
            <a:endPar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endParaRPr>
          </a:p>
          <a:p>
            <a:pPr algn="ct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الوقت -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Ctrl+Shift</a:t>
            </a:r>
            <a:r>
              <a:rPr lang="en-US"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a:t>
            </a:r>
            <a:endParaRPr lang="en-US" sz="1100">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155" name="الرسم 147" descr="نظارات">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flipH="1">
            <a:off x="6391275" y="8769732"/>
            <a:ext cx="300614" cy="258345"/>
          </a:xfrm>
          <a:prstGeom prst="rect">
            <a:avLst/>
          </a:prstGeom>
        </xdr:spPr>
      </xdr:pic>
      <xdr:sp macro="" textlink="">
        <xdr:nvSpPr>
          <xdr:cNvPr id="156" name="شكل حر: الشكل 155" descr="سهم">
            <a:extLst>
              <a:ext uri="{FF2B5EF4-FFF2-40B4-BE49-F238E27FC236}">
                <a16:creationId xmlns:a16="http://schemas.microsoft.com/office/drawing/2014/main" id="{DC28982F-2938-4FB2-83AE-57CF7D95EFD2}"/>
              </a:ext>
            </a:extLst>
          </xdr:cNvPr>
          <xdr:cNvSpPr/>
        </xdr:nvSpPr>
        <xdr:spPr>
          <a:xfrm rot="5737631" flipV="1">
            <a:off x="8147675" y="8142018"/>
            <a:ext cx="544253" cy="901180"/>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p>
        </xdr:txBody>
      </xdr:sp>
    </xdr:grpSp>
    <xdr:clientData/>
  </xdr:twoCellAnchor>
  <xdr:twoCellAnchor editAs="absolute">
    <xdr:from>
      <xdr:col>0</xdr:col>
      <xdr:colOff>342900</xdr:colOff>
      <xdr:row>63</xdr:row>
      <xdr:rowOff>28575</xdr:rowOff>
    </xdr:from>
    <xdr:to>
      <xdr:col>1</xdr:col>
      <xdr:colOff>5162550</xdr:colOff>
      <xdr:row>77</xdr:row>
      <xdr:rowOff>149225</xdr:rowOff>
    </xdr:to>
    <xdr:grpSp>
      <xdr:nvGrpSpPr>
        <xdr:cNvPr id="157" name="المجموعة 156">
          <a:extLst>
            <a:ext uri="{FF2B5EF4-FFF2-40B4-BE49-F238E27FC236}">
              <a16:creationId xmlns:a16="http://schemas.microsoft.com/office/drawing/2014/main" id="{BBCBE502-8234-4D4A-9B27-5CABDDC8BAC3}"/>
            </a:ext>
          </a:extLst>
        </xdr:cNvPr>
        <xdr:cNvGrpSpPr/>
      </xdr:nvGrpSpPr>
      <xdr:grpSpPr>
        <a:xfrm flipH="1">
          <a:off x="11237442600" y="12344400"/>
          <a:ext cx="5781675" cy="2654300"/>
          <a:chOff x="352425" y="12715875"/>
          <a:chExt cx="5733288" cy="2476500"/>
        </a:xfrm>
      </xdr:grpSpPr>
      <xdr:sp macro="" textlink="">
        <xdr:nvSpPr>
          <xdr:cNvPr id="158" name="مستطيل 157">
            <a:extLst>
              <a:ext uri="{FF2B5EF4-FFF2-40B4-BE49-F238E27FC236}">
                <a16:creationId xmlns:a16="http://schemas.microsoft.com/office/drawing/2014/main" id="{EB78088A-F728-4334-BBAD-9DCAD9DC2A2E}"/>
              </a:ext>
            </a:extLst>
          </xdr:cNvPr>
          <xdr:cNvSpPr/>
        </xdr:nvSpPr>
        <xdr:spPr>
          <a:xfrm flipH="1">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159" name="الخطوة" descr="المزيد من المعلومات على الويب&#10;">
            <a:extLst>
              <a:ext uri="{FF2B5EF4-FFF2-40B4-BE49-F238E27FC236}">
                <a16:creationId xmlns:a16="http://schemas.microsoft.com/office/drawing/2014/main" id="{0CC303B6-A72F-431D-B2DE-1F16D7E093B2}"/>
              </a:ext>
            </a:extLst>
          </xdr:cNvPr>
          <xdr:cNvSpPr txBox="1"/>
        </xdr:nvSpPr>
        <xdr:spPr>
          <a:xfrm flipH="1">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160" name="موصل مستقيم 159" descr="سطر مزخرف">
            <a:extLst>
              <a:ext uri="{FF2B5EF4-FFF2-40B4-BE49-F238E27FC236}">
                <a16:creationId xmlns:a16="http://schemas.microsoft.com/office/drawing/2014/main" id="{52A9E11F-836A-48CD-A0B1-5196D5B7FDEF}"/>
              </a:ext>
            </a:extLst>
          </xdr:cNvPr>
          <xdr:cNvCxnSpPr>
            <a:cxnSpLocks/>
          </xdr:cNvCxnSpPr>
        </xdr:nvCxnSpPr>
        <xdr:spPr>
          <a:xfrm flipH="1">
            <a:off x="564965" y="13275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موصل مستقيم 160" descr="سطر مزخرف">
            <a:extLst>
              <a:ext uri="{FF2B5EF4-FFF2-40B4-BE49-F238E27FC236}">
                <a16:creationId xmlns:a16="http://schemas.microsoft.com/office/drawing/2014/main" id="{2AF4D85B-72C9-4670-AFD5-D498C1F96D34}"/>
              </a:ext>
            </a:extLst>
          </xdr:cNvPr>
          <xdr:cNvCxnSpPr>
            <a:cxnSpLocks/>
          </xdr:cNvCxnSpPr>
        </xdr:nvCxnSpPr>
        <xdr:spPr>
          <a:xfrm flipH="1">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571931</xdr:colOff>
      <xdr:row>67</xdr:row>
      <xdr:rowOff>32469</xdr:rowOff>
    </xdr:from>
    <xdr:to>
      <xdr:col>1</xdr:col>
      <xdr:colOff>2419350</xdr:colOff>
      <xdr:row>69</xdr:row>
      <xdr:rowOff>23248</xdr:rowOff>
    </xdr:to>
    <xdr:grpSp>
      <xdr:nvGrpSpPr>
        <xdr:cNvPr id="14" name="المجموعة 13">
          <a:extLst>
            <a:ext uri="{FF2B5EF4-FFF2-40B4-BE49-F238E27FC236}">
              <a16:creationId xmlns:a16="http://schemas.microsoft.com/office/drawing/2014/main" id="{C4A695FE-F3AB-4030-A0F4-F10322DAD2D7}"/>
            </a:ext>
          </a:extLst>
        </xdr:cNvPr>
        <xdr:cNvGrpSpPr/>
      </xdr:nvGrpSpPr>
      <xdr:grpSpPr>
        <a:xfrm flipH="1">
          <a:off x="11240185800" y="13072194"/>
          <a:ext cx="2809444" cy="352729"/>
          <a:chOff x="571931" y="13599244"/>
          <a:chExt cx="2866594" cy="359079"/>
        </a:xfrm>
      </xdr:grpSpPr>
      <xdr:sp macro="" textlink="">
        <xdr:nvSpPr>
          <xdr:cNvPr id="162" name="الخطوة" descr="جميع المعلومات حول الدالة TODAY، مرتبط ارتباطاً تشعبياً إلى الويب&#10;&#10;">
            <a:hlinkClick xmlns:r="http://schemas.openxmlformats.org/officeDocument/2006/relationships" r:id="rId5" tooltip="حدد للتعرف على جميع المعلومات حول الدالة TODAY على الويب"/>
            <a:extLst>
              <a:ext uri="{FF2B5EF4-FFF2-40B4-BE49-F238E27FC236}">
                <a16:creationId xmlns:a16="http://schemas.microsoft.com/office/drawing/2014/main" id="{F8241A74-09BF-4A60-A53F-A5CCC994B75C}"/>
              </a:ext>
            </a:extLst>
          </xdr:cNvPr>
          <xdr:cNvSpPr txBox="1"/>
        </xdr:nvSpPr>
        <xdr:spPr>
          <a:xfrm flipH="1">
            <a:off x="1037116" y="136736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الدالة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TODAY</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p>
        </xdr:txBody>
      </xdr:sp>
      <xdr:pic>
        <xdr:nvPicPr>
          <xdr:cNvPr id="163" name="الرسم 22" descr="سهم">
            <a:hlinkClick xmlns:r="http://schemas.openxmlformats.org/officeDocument/2006/relationships" r:id="rId5" tooltip="حدد للتعرّف على المزيد من الويب"/>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editAs="absolute">
    <xdr:from>
      <xdr:col>0</xdr:col>
      <xdr:colOff>571932</xdr:colOff>
      <xdr:row>69</xdr:row>
      <xdr:rowOff>79716</xdr:rowOff>
    </xdr:from>
    <xdr:to>
      <xdr:col>1</xdr:col>
      <xdr:colOff>2505076</xdr:colOff>
      <xdr:row>71</xdr:row>
      <xdr:rowOff>75805</xdr:rowOff>
    </xdr:to>
    <xdr:grpSp>
      <xdr:nvGrpSpPr>
        <xdr:cNvPr id="13" name="المجموعة 12">
          <a:extLst>
            <a:ext uri="{FF2B5EF4-FFF2-40B4-BE49-F238E27FC236}">
              <a16:creationId xmlns:a16="http://schemas.microsoft.com/office/drawing/2014/main" id="{E793ECE4-F54A-4632-BABB-CDB76236E886}"/>
            </a:ext>
          </a:extLst>
        </xdr:cNvPr>
        <xdr:cNvGrpSpPr/>
      </xdr:nvGrpSpPr>
      <xdr:grpSpPr>
        <a:xfrm flipH="1">
          <a:off x="11240100074" y="13481391"/>
          <a:ext cx="2895169" cy="358039"/>
          <a:chOff x="571931" y="14014791"/>
          <a:chExt cx="2895169" cy="364389"/>
        </a:xfrm>
      </xdr:grpSpPr>
      <xdr:sp macro="" textlink="">
        <xdr:nvSpPr>
          <xdr:cNvPr id="164" name="الخطوة" descr="جميع المعلومات حول الدالة NOW، مرتبط ارتباطاً تشعبياً إلى الويب&#10;">
            <a:hlinkClick xmlns:r="http://schemas.openxmlformats.org/officeDocument/2006/relationships" r:id="rId8" tooltip="حدد للتعرف على جميع المعلومات حول الدالة NOW على الويب"/>
            <a:extLst>
              <a:ext uri="{FF2B5EF4-FFF2-40B4-BE49-F238E27FC236}">
                <a16:creationId xmlns:a16="http://schemas.microsoft.com/office/drawing/2014/main" id="{99ED5FDC-AE78-4AD5-8FB5-D398732CB7E5}"/>
              </a:ext>
            </a:extLst>
          </xdr:cNvPr>
          <xdr:cNvSpPr txBox="1"/>
        </xdr:nvSpPr>
        <xdr:spPr>
          <a:xfrm flipH="1">
            <a:off x="1037116" y="14093795"/>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NOW</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pic>
        <xdr:nvPicPr>
          <xdr:cNvPr id="165" name="الرسم 22" descr="سهم">
            <a:hlinkClick xmlns:r="http://schemas.openxmlformats.org/officeDocument/2006/relationships" r:id="rId8" tooltip="حدد للتعرّف على المزيد من الويب"/>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editAs="absolute">
    <xdr:from>
      <xdr:col>0</xdr:col>
      <xdr:colOff>584541</xdr:colOff>
      <xdr:row>74</xdr:row>
      <xdr:rowOff>35228</xdr:rowOff>
    </xdr:from>
    <xdr:to>
      <xdr:col>1</xdr:col>
      <xdr:colOff>3152775</xdr:colOff>
      <xdr:row>76</xdr:row>
      <xdr:rowOff>31317</xdr:rowOff>
    </xdr:to>
    <xdr:grpSp>
      <xdr:nvGrpSpPr>
        <xdr:cNvPr id="9" name="المجموعة 8">
          <a:extLst>
            <a:ext uri="{FF2B5EF4-FFF2-40B4-BE49-F238E27FC236}">
              <a16:creationId xmlns:a16="http://schemas.microsoft.com/office/drawing/2014/main" id="{659E6730-AC76-4CC7-A823-D2C618696DAA}"/>
            </a:ext>
          </a:extLst>
        </xdr:cNvPr>
        <xdr:cNvGrpSpPr/>
      </xdr:nvGrpSpPr>
      <xdr:grpSpPr>
        <a:xfrm flipH="1">
          <a:off x="11239452375" y="14341778"/>
          <a:ext cx="3530259" cy="358039"/>
          <a:chOff x="584540" y="14891053"/>
          <a:chExt cx="3630506" cy="364389"/>
        </a:xfrm>
      </xdr:grpSpPr>
      <xdr:sp macro="" textlink="">
        <xdr:nvSpPr>
          <xdr:cNvPr id="166" name="الخطوة" descr="التدريب المجاني على Excel عبر الإنترنت، مرتبط ارتباطاً تشعبياً إلى الويب&#10;">
            <a:hlinkClick xmlns:r="http://schemas.openxmlformats.org/officeDocument/2006/relationships" r:id="rId9" tooltip="حدد للتعرف على تدريب Excel المجاني من الويب"/>
            <a:extLst>
              <a:ext uri="{FF2B5EF4-FFF2-40B4-BE49-F238E27FC236}">
                <a16:creationId xmlns:a16="http://schemas.microsoft.com/office/drawing/2014/main" id="{3AA6BF12-05BC-4A54-8192-040964AEB7FE}"/>
              </a:ext>
            </a:extLst>
          </xdr:cNvPr>
          <xdr:cNvSpPr txBox="1"/>
        </xdr:nvSpPr>
        <xdr:spPr>
          <a:xfrm flipH="1">
            <a:off x="1049724" y="14913582"/>
            <a:ext cx="3165322"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167" name="الرسم 22" descr="سهم">
            <a:hlinkClick xmlns:r="http://schemas.openxmlformats.org/officeDocument/2006/relationships" r:id="rId9" tooltip="حدد للتعرّف على المزيد من الويب"/>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editAs="absolute">
    <xdr:from>
      <xdr:col>0</xdr:col>
      <xdr:colOff>581456</xdr:colOff>
      <xdr:row>71</xdr:row>
      <xdr:rowOff>125923</xdr:rowOff>
    </xdr:from>
    <xdr:to>
      <xdr:col>1</xdr:col>
      <xdr:colOff>2428875</xdr:colOff>
      <xdr:row>73</xdr:row>
      <xdr:rowOff>122012</xdr:rowOff>
    </xdr:to>
    <xdr:grpSp>
      <xdr:nvGrpSpPr>
        <xdr:cNvPr id="12" name="المجموعة 11">
          <a:extLst>
            <a:ext uri="{FF2B5EF4-FFF2-40B4-BE49-F238E27FC236}">
              <a16:creationId xmlns:a16="http://schemas.microsoft.com/office/drawing/2014/main" id="{FF28E0D6-012A-4FA6-9D67-C8B77A5CC9E6}"/>
            </a:ext>
          </a:extLst>
        </xdr:cNvPr>
        <xdr:cNvGrpSpPr/>
      </xdr:nvGrpSpPr>
      <xdr:grpSpPr>
        <a:xfrm flipH="1">
          <a:off x="11240176275" y="13889548"/>
          <a:ext cx="2809444" cy="358039"/>
          <a:chOff x="581456" y="14435648"/>
          <a:chExt cx="2895169" cy="364389"/>
        </a:xfrm>
      </xdr:grpSpPr>
      <xdr:sp macro="" textlink="">
        <xdr:nvSpPr>
          <xdr:cNvPr id="168" name="الخطوة" descr="جميع المعلومات حول الدالة DATE، مرتبط ارتباطاً تشعبياً إلى الويب&#10;">
            <a:hlinkClick xmlns:r="http://schemas.openxmlformats.org/officeDocument/2006/relationships" r:id="rId10" tooltip="حدد للتعرف على جميع المعلومات حول الدالة DATE على الويب"/>
            <a:extLst>
              <a:ext uri="{FF2B5EF4-FFF2-40B4-BE49-F238E27FC236}">
                <a16:creationId xmlns:a16="http://schemas.microsoft.com/office/drawing/2014/main" id="{282D96E3-1EC6-421D-A0C9-770266F3958E}"/>
              </a:ext>
            </a:extLst>
          </xdr:cNvPr>
          <xdr:cNvSpPr txBox="1"/>
        </xdr:nvSpPr>
        <xdr:spPr>
          <a:xfrm flipH="1">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DATE </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pic>
        <xdr:nvPicPr>
          <xdr:cNvPr id="169" name="الرسم 22" descr="سهم">
            <a:hlinkClick xmlns:r="http://schemas.openxmlformats.org/officeDocument/2006/relationships" r:id="rId10" tooltip="حدد للتعرّف على المزيد من الويب"/>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260183</xdr:colOff>
      <xdr:row>7</xdr:row>
      <xdr:rowOff>85429</xdr:rowOff>
    </xdr:from>
    <xdr:to>
      <xdr:col>9</xdr:col>
      <xdr:colOff>381000</xdr:colOff>
      <xdr:row>14</xdr:row>
      <xdr:rowOff>136523</xdr:rowOff>
    </xdr:to>
    <xdr:grpSp>
      <xdr:nvGrpSpPr>
        <xdr:cNvPr id="78" name="تفاصيل مهمة" descr="تفاصيل مهمة&#10;&#10;">
          <a:extLst>
            <a:ext uri="{FF2B5EF4-FFF2-40B4-BE49-F238E27FC236}">
              <a16:creationId xmlns:a16="http://schemas.microsoft.com/office/drawing/2014/main" id="{F03EFBCA-CF45-46A3-8D0C-6B4DC1C4CC33}"/>
            </a:ext>
          </a:extLst>
        </xdr:cNvPr>
        <xdr:cNvGrpSpPr/>
      </xdr:nvGrpSpPr>
      <xdr:grpSpPr>
        <a:xfrm flipH="1">
          <a:off x="11229594000" y="2152354"/>
          <a:ext cx="3549817" cy="1384594"/>
          <a:chOff x="6396316" y="11324814"/>
          <a:chExt cx="4106584" cy="1343436"/>
        </a:xfrm>
      </xdr:grpSpPr>
      <xdr:sp macro="" textlink="">
        <xdr:nvSpPr>
          <xdr:cNvPr id="79" name="إرشاد" descr="IMPORTANT DETAIL&#10;If you don't want Excel to display a negative number because you haven't entered your birthday yet, you can use an IF function like this: =IF(D7=&quot;&quot;,&quot;&quot;,D7-D6), which says, &quot;IF D7 equals nothing, then show nothing, otherwise show D7 minus D6&quot;.&#10;&#10;">
            <a:extLst>
              <a:ext uri="{FF2B5EF4-FFF2-40B4-BE49-F238E27FC236}">
                <a16:creationId xmlns:a16="http://schemas.microsoft.com/office/drawing/2014/main" id="{C68ECE02-F87F-4906-B6F3-616A5ECFD97E}"/>
              </a:ext>
            </a:extLst>
          </xdr:cNvPr>
          <xdr:cNvSpPr txBox="1"/>
        </xdr:nvSpPr>
        <xdr:spPr>
          <a:xfrm flipH="1">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تفاصيل مهمة</a:t>
            </a: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إذا كنت لا تريد من Excel عرض رقم سالب نظراً لأنك لم تقم بإدخال تاريخ ميلادك حتى الآن، يمكنك استخدام الدالة IF كما يلي: </a:t>
            </a:r>
            <a:r>
              <a:rPr lang="en-US"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=IF(D7="";"";D7-D6)</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حيث تشير إلى "إذا كانت الخلية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D7</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تساوي لا شيء، فأظهر لا شيء، بخلاف ذلك أظهر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D7</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ناقص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D6</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a:t>
            </a:r>
            <a:endParaRPr lang="en-US" sz="1100">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80" name="نظارة مكبرة" descr="عدسة تكبير">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49" y="11420475"/>
            <a:ext cx="352313" cy="339611"/>
          </a:xfrm>
          <a:prstGeom prst="rect">
            <a:avLst/>
          </a:prstGeom>
        </xdr:spPr>
      </xdr:pic>
      <xdr:sp macro="" textlink="">
        <xdr:nvSpPr>
          <xdr:cNvPr id="81" name="سهم" descr="سهم">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1" anchor="t"/>
          <a:lstStyle/>
          <a:p>
            <a:pPr algn="l" rtl="1"/>
            <a:endParaRPr 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323850</xdr:colOff>
      <xdr:row>23</xdr:row>
      <xdr:rowOff>66675</xdr:rowOff>
    </xdr:from>
    <xdr:to>
      <xdr:col>1</xdr:col>
      <xdr:colOff>5210176</xdr:colOff>
      <xdr:row>47</xdr:row>
      <xdr:rowOff>19050</xdr:rowOff>
    </xdr:to>
    <xdr:grpSp>
      <xdr:nvGrpSpPr>
        <xdr:cNvPr id="111" name="مجموعة 110">
          <a:extLst>
            <a:ext uri="{FF2B5EF4-FFF2-40B4-BE49-F238E27FC236}">
              <a16:creationId xmlns:a16="http://schemas.microsoft.com/office/drawing/2014/main" id="{5C38C905-DEF0-45E7-ABEB-10915BE42D13}"/>
            </a:ext>
          </a:extLst>
        </xdr:cNvPr>
        <xdr:cNvGrpSpPr/>
      </xdr:nvGrpSpPr>
      <xdr:grpSpPr>
        <a:xfrm flipH="1">
          <a:off x="11238480824" y="4819650"/>
          <a:ext cx="5848351" cy="4295775"/>
          <a:chOff x="323850" y="5019675"/>
          <a:chExt cx="5734050" cy="4524375"/>
        </a:xfrm>
      </xdr:grpSpPr>
      <xdr:grpSp>
        <xdr:nvGrpSpPr>
          <xdr:cNvPr id="58" name="مجموعة_الخطوات">
            <a:extLst>
              <a:ext uri="{FF2B5EF4-FFF2-40B4-BE49-F238E27FC236}">
                <a16:creationId xmlns:a16="http://schemas.microsoft.com/office/drawing/2014/main" id="{3E43ADA2-5F3E-45C6-BA66-1973A0B1F638}"/>
              </a:ext>
            </a:extLst>
          </xdr:cNvPr>
          <xdr:cNvGrpSpPr/>
        </xdr:nvGrpSpPr>
        <xdr:grpSpPr>
          <a:xfrm>
            <a:off x="323850" y="5019675"/>
            <a:ext cx="5734050" cy="4524375"/>
            <a:chOff x="609600" y="1524000"/>
            <a:chExt cx="5695950" cy="4572000"/>
          </a:xfrm>
        </xdr:grpSpPr>
        <xdr:sp macro="" textlink="">
          <xdr:nvSpPr>
            <xdr:cNvPr id="59" name="نص_خلفية الجولة" descr="الخلفية">
              <a:extLst>
                <a:ext uri="{FF2B5EF4-FFF2-40B4-BE49-F238E27FC236}">
                  <a16:creationId xmlns:a16="http://schemas.microsoft.com/office/drawing/2014/main" id="{746CE660-670F-48DE-9B5A-8F87BB149114}"/>
                </a:ext>
              </a:extLst>
            </xdr:cNvPr>
            <xdr:cNvSpPr/>
          </xdr:nvSpPr>
          <xdr:spPr>
            <a:xfrm flipH="1">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60" name="نص_عنوان الجولة" descr="استخدام النص والأرقام معاً">
              <a:extLst>
                <a:ext uri="{FF2B5EF4-FFF2-40B4-BE49-F238E27FC236}">
                  <a16:creationId xmlns:a16="http://schemas.microsoft.com/office/drawing/2014/main" id="{F438F1EF-277F-41AD-BA1E-1D4C10A4E576}"/>
                </a:ext>
              </a:extLst>
            </xdr:cNvPr>
            <xdr:cNvSpPr txBox="1"/>
          </xdr:nvSpPr>
          <xdr:spPr>
            <a:xfrm flipH="1">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استخدام النص والأرقام معاً</a:t>
              </a:r>
            </a:p>
          </xdr:txBody>
        </xdr:sp>
        <xdr:cxnSp macro="">
          <xdr:nvCxnSpPr>
            <xdr:cNvPr id="61" name="نص_سطر الجولة 1" descr="سطر مزخرف">
              <a:extLst>
                <a:ext uri="{FF2B5EF4-FFF2-40B4-BE49-F238E27FC236}">
                  <a16:creationId xmlns:a16="http://schemas.microsoft.com/office/drawing/2014/main" id="{DDC3CCDC-6AE4-46BD-AE52-501D8F2D8750}"/>
                </a:ext>
              </a:extLst>
            </xdr:cNvPr>
            <xdr:cNvCxnSpPr>
              <a:cxnSpLocks/>
            </xdr:cNvCxnSpPr>
          </xdr:nvCxnSpPr>
          <xdr:spPr>
            <a:xfrm flipH="1">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نص_سطر الجولة 2" descr="سطر مزخرف">
              <a:extLst>
                <a:ext uri="{FF2B5EF4-FFF2-40B4-BE49-F238E27FC236}">
                  <a16:creationId xmlns:a16="http://schemas.microsoft.com/office/drawing/2014/main" id="{A29D6EA9-B97F-4F30-9031-1B1934F6D015}"/>
                </a:ext>
              </a:extLst>
            </xdr:cNvPr>
            <xdr:cNvCxnSpPr>
              <a:cxnSpLocks/>
            </xdr:cNvCxnSpPr>
          </xdr:nvCxnSpPr>
          <xdr:spPr>
            <a:xfrm flipH="1">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نص_مقدمة الجولة" descr="Now we'll use the &amp; to join text and numbers, not just text and text&#10;&#10;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10;">
              <a:extLst>
                <a:ext uri="{FF2B5EF4-FFF2-40B4-BE49-F238E27FC236}">
                  <a16:creationId xmlns:a16="http://schemas.microsoft.com/office/drawing/2014/main" id="{C837975A-6100-4DEA-8950-C7ADB7AEACCB}"/>
                </a:ext>
              </a:extLst>
            </xdr:cNvPr>
            <xdr:cNvSpPr txBox="1"/>
          </xdr:nvSpPr>
          <xdr:spPr>
            <a:xfrm flipH="1">
              <a:off x="846305" y="2224166"/>
              <a:ext cx="5216551" cy="180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الآن سنستخدم الرمز "&amp;" لدمج نص وأرقام وليس نص ونص فقط.</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إلقاء نظرة على الخلايا </a:t>
              </a:r>
              <a:r>
                <a:rPr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C28:C29</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 معرفة كيف يكون التاريخ والأوقات في خلايا منفصلة؟ كما يمكنك ضمهما معاً مع الرمز "</a:t>
              </a:r>
              <a:r>
                <a:rPr lang="ar"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&amp;</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 كما سترى في الخلايا </a:t>
              </a:r>
              <a:r>
                <a:rPr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C32:C33</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 ولكن لا تبدو صحيحة، أليس كذلك؟ لسوء الحظ، لا يعرف Excel الطريقة التي تريد تنسيق الأرقام بها، لذلك سيقسمها لأقل تنسيق لديها، وهو التاريخ المتسلسل في هذه الحالة. يجب إعلام Excel بكل وضوح عن كيفية تنسيق جزء رقم الصيغة، بحيث تعرض الطريقة التي تريدها في السلسلة النصية الناتجة. يمكنك القيام بذلك باستخدام الدالة </a:t>
              </a:r>
              <a:r>
                <a:rPr lang="ar"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TEXT</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 ورمز التنسيق.</a:t>
              </a:r>
            </a:p>
          </xdr:txBody>
        </xdr:sp>
      </xdr:grpSp>
      <xdr:grpSp>
        <xdr:nvGrpSpPr>
          <xdr:cNvPr id="64" name="مجموعة_الخطوات">
            <a:extLst>
              <a:ext uri="{FF2B5EF4-FFF2-40B4-BE49-F238E27FC236}">
                <a16:creationId xmlns:a16="http://schemas.microsoft.com/office/drawing/2014/main" id="{C6BDB8A3-21FE-4EAA-A451-F595D7A1CFD1}"/>
              </a:ext>
            </a:extLst>
          </xdr:cNvPr>
          <xdr:cNvGrpSpPr/>
        </xdr:nvGrpSpPr>
        <xdr:grpSpPr>
          <a:xfrm>
            <a:off x="561975" y="7400310"/>
            <a:ext cx="5122371" cy="596207"/>
            <a:chOff x="619063" y="7609860"/>
            <a:chExt cx="5089138" cy="596207"/>
          </a:xfrm>
        </xdr:grpSpPr>
        <xdr:sp macro="" textlink="">
          <xdr:nvSpPr>
            <xdr:cNvPr id="65" name="نص_ الخطوة" descr="في الخلية C36، أدخِل C28&amp;&quot; &quot;&amp;TEXT(D28,&quot;MM/DD/YYYY&quot;). MM/DD/YYYY وهو تنسيق الولايات المتحدة للشهر\اليوم\السنة مثل 09/25/2017.&#10;&#10;">
              <a:extLst>
                <a:ext uri="{FF2B5EF4-FFF2-40B4-BE49-F238E27FC236}">
                  <a16:creationId xmlns:a16="http://schemas.microsoft.com/office/drawing/2014/main" id="{DDE71C24-EA69-4FB1-9319-E270E463554C}"/>
                </a:ext>
              </a:extLst>
            </xdr:cNvPr>
            <xdr:cNvSpPr txBox="1"/>
          </xdr:nvSpPr>
          <xdr:spPr>
            <a:xfrm flipH="1">
              <a:off x="1036221" y="7651818"/>
              <a:ext cx="467198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C36</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أدخل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=C28 &amp;" "&amp; TEXT(D28;"DD/MM/YYYY")</a:t>
              </a:r>
              <a:r>
                <a:rPr lang="ar"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b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b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DD/MM/YYYY</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هو رمز تنسيق الولايات المتحدة للشهر/اليوم/السنة، مثل 09/25/2017.</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6" name="شكل_الخطوة" descr="1">
              <a:extLst>
                <a:ext uri="{FF2B5EF4-FFF2-40B4-BE49-F238E27FC236}">
                  <a16:creationId xmlns:a16="http://schemas.microsoft.com/office/drawing/2014/main" id="{8E23CA67-4E1A-43D7-84B1-192836614566}"/>
                </a:ext>
              </a:extLst>
            </xdr:cNvPr>
            <xdr:cNvSpPr/>
          </xdr:nvSpPr>
          <xdr:spPr>
            <a:xfrm flipH="1">
              <a:off x="619063" y="760986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67" name="مجموعة_الخطوات">
            <a:extLst>
              <a:ext uri="{FF2B5EF4-FFF2-40B4-BE49-F238E27FC236}">
                <a16:creationId xmlns:a16="http://schemas.microsoft.com/office/drawing/2014/main" id="{400221E8-F2AA-445E-86DD-DDE14B5B3DC8}"/>
              </a:ext>
            </a:extLst>
          </xdr:cNvPr>
          <xdr:cNvGrpSpPr/>
        </xdr:nvGrpSpPr>
        <xdr:grpSpPr>
          <a:xfrm>
            <a:off x="561975" y="8181975"/>
            <a:ext cx="5229626" cy="596207"/>
            <a:chOff x="619063" y="7810500"/>
            <a:chExt cx="5195697" cy="596207"/>
          </a:xfrm>
        </xdr:grpSpPr>
        <xdr:sp macro="" textlink="">
          <xdr:nvSpPr>
            <xdr:cNvPr id="68" name="نص_ الخطوة" descr="في الخلية C37، أدخل =C29&amp;&quot; &quot;&amp;TEXT(D29,&quot;HH:MM AM/PM&quot;). HH:MM AM/PM هو رمز تنسيق الولايات المتحدة للساعات:الدقائق صباحاً أو مساءاً مثل 1:30 مساءً.&#10;">
              <a:extLst>
                <a:ext uri="{FF2B5EF4-FFF2-40B4-BE49-F238E27FC236}">
                  <a16:creationId xmlns:a16="http://schemas.microsoft.com/office/drawing/2014/main" id="{CEB49487-C445-4B69-9112-51698E7250F2}"/>
                </a:ext>
              </a:extLst>
            </xdr:cNvPr>
            <xdr:cNvSpPr txBox="1"/>
          </xdr:nvSpPr>
          <xdr:spPr>
            <a:xfrm flipH="1">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C37</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أدخل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=C29&amp;" "&amp;TEXT(D29;"HH:MM:SS")</a:t>
              </a:r>
              <a:r>
                <a:rPr lang="ar"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a:t>
              </a:r>
              <a:r>
                <a:rPr lang="ar"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HH:MM:SS</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هو رمز تنسيق الولايات المتحدة للساعات:الدقائق صباحاً أو مساءً</a:t>
              </a:r>
              <a:r>
                <a:rPr lang="ar-SA"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مثل 1:30:31.</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9" name="شكل_الخطوة" descr="2">
              <a:extLst>
                <a:ext uri="{FF2B5EF4-FFF2-40B4-BE49-F238E27FC236}">
                  <a16:creationId xmlns:a16="http://schemas.microsoft.com/office/drawing/2014/main" id="{D170A5A8-EB2A-420E-AFF9-3414BA79F7BF}"/>
                </a:ext>
              </a:extLst>
            </xdr:cNvPr>
            <xdr:cNvSpPr/>
          </xdr:nvSpPr>
          <xdr:spPr>
            <a:xfrm flipH="1">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clientData/>
  </xdr:twoCellAnchor>
  <xdr:twoCellAnchor editAs="absolute">
    <xdr:from>
      <xdr:col>0</xdr:col>
      <xdr:colOff>571500</xdr:colOff>
      <xdr:row>44</xdr:row>
      <xdr:rowOff>47625</xdr:rowOff>
    </xdr:from>
    <xdr:to>
      <xdr:col>1</xdr:col>
      <xdr:colOff>912675</xdr:colOff>
      <xdr:row>46</xdr:row>
      <xdr:rowOff>21124</xdr:rowOff>
    </xdr:to>
    <xdr:sp macro="" textlink="">
      <xdr:nvSpPr>
        <xdr:cNvPr id="70" name="الزر_السابق" descr="الرجوع إلى الورقة السابقة">
          <a:hlinkClick xmlns:r="http://schemas.openxmlformats.org/officeDocument/2006/relationships" r:id="rId1" tooltip="انقر هنا للعودة إلى الورقة السابقة"/>
          <a:extLst>
            <a:ext uri="{FF2B5EF4-FFF2-40B4-BE49-F238E27FC236}">
              <a16:creationId xmlns:a16="http://schemas.microsoft.com/office/drawing/2014/main" id="{DCA6AC04-F66C-44EC-86B5-CE167DBCCA5F}"/>
            </a:ext>
          </a:extLst>
        </xdr:cNvPr>
        <xdr:cNvSpPr/>
      </xdr:nvSpPr>
      <xdr:spPr>
        <a:xfrm>
          <a:off x="11242778325" y="8601075"/>
          <a:ext cx="130320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clientData/>
  </xdr:twoCellAnchor>
  <xdr:twoCellAnchor editAs="absolute">
    <xdr:from>
      <xdr:col>1</xdr:col>
      <xdr:colOff>3667200</xdr:colOff>
      <xdr:row>44</xdr:row>
      <xdr:rowOff>47625</xdr:rowOff>
    </xdr:from>
    <xdr:to>
      <xdr:col>1</xdr:col>
      <xdr:colOff>4970400</xdr:colOff>
      <xdr:row>46</xdr:row>
      <xdr:rowOff>21124</xdr:rowOff>
    </xdr:to>
    <xdr:sp macro="" textlink="">
      <xdr:nvSpPr>
        <xdr:cNvPr id="71" name="الزر_التالي" descr="التقدم إلى الورقة التالية">
          <a:hlinkClick xmlns:r="http://schemas.openxmlformats.org/officeDocument/2006/relationships" r:id="rId2" tooltip="انقر هنا للتقدم إلى ورقة العمل التالية"/>
          <a:extLst>
            <a:ext uri="{FF2B5EF4-FFF2-40B4-BE49-F238E27FC236}">
              <a16:creationId xmlns:a16="http://schemas.microsoft.com/office/drawing/2014/main" id="{625A78A7-925A-4E8E-B9FF-D88914AFC403}"/>
            </a:ext>
          </a:extLst>
        </xdr:cNvPr>
        <xdr:cNvSpPr/>
      </xdr:nvSpPr>
      <xdr:spPr>
        <a:xfrm flipH="1">
          <a:off x="11238720600" y="8601075"/>
          <a:ext cx="130320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xdr:twoCellAnchor>
  <xdr:twoCellAnchor editAs="absolute">
    <xdr:from>
      <xdr:col>1</xdr:col>
      <xdr:colOff>5938837</xdr:colOff>
      <xdr:row>41</xdr:row>
      <xdr:rowOff>57150</xdr:rowOff>
    </xdr:from>
    <xdr:to>
      <xdr:col>4</xdr:col>
      <xdr:colOff>790575</xdr:colOff>
      <xdr:row>50</xdr:row>
      <xdr:rowOff>143934</xdr:rowOff>
    </xdr:to>
    <xdr:grpSp>
      <xdr:nvGrpSpPr>
        <xdr:cNvPr id="72" name="تستحق الاكتشاف" descr="تستحق الاكتشاف">
          <a:extLst>
            <a:ext uri="{FF2B5EF4-FFF2-40B4-BE49-F238E27FC236}">
              <a16:creationId xmlns:a16="http://schemas.microsoft.com/office/drawing/2014/main" id="{D3F697DB-2CF8-4D23-9E17-2125613D49A8}"/>
            </a:ext>
          </a:extLst>
        </xdr:cNvPr>
        <xdr:cNvGrpSpPr/>
      </xdr:nvGrpSpPr>
      <xdr:grpSpPr>
        <a:xfrm flipH="1">
          <a:off x="11234223150" y="8067675"/>
          <a:ext cx="3529013" cy="1715559"/>
          <a:chOff x="8477250" y="8591549"/>
          <a:chExt cx="3314700" cy="1504951"/>
        </a:xfrm>
      </xdr:grpSpPr>
      <xdr:pic>
        <xdr:nvPicPr>
          <xdr:cNvPr id="73" name="الرسم 9" descr="المشي الطويل">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الخطوة" descr="WORTH EXPLORING&#10;If you don't know what format code to use, you can use Ctrl+1 &gt; Number to format any cell the way you want.  Then select the Custom option. You can copy the format code that's displayed back to your formula.&#10;">
            <a:extLst>
              <a:ext uri="{FF2B5EF4-FFF2-40B4-BE49-F238E27FC236}">
                <a16:creationId xmlns:a16="http://schemas.microsoft.com/office/drawing/2014/main" id="{BC87D05D-D577-47CD-A73D-3022C632DAF8}"/>
              </a:ext>
            </a:extLst>
          </xdr:cNvPr>
          <xdr:cNvSpPr txBox="1"/>
        </xdr:nvSpPr>
        <xdr:spPr>
          <a:xfrm flipH="1">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تستحق الاكتشاف</a:t>
            </a:r>
            <a:endParaRPr lang="en-US" sz="1200" b="1">
              <a:solidFill>
                <a:srgbClr val="ED7D31">
                  <a:lumMod val="60000"/>
                  <a:lumOff val="40000"/>
                </a:srgbClr>
              </a:solidFill>
              <a:latin typeface="+mj-lt"/>
              <a:ea typeface="Segoe UI" pitchFamily="34" charset="0"/>
              <a:cs typeface="Tahoma" panose="020B0604030504040204" pitchFamily="34" charset="0"/>
            </a:endParaRPr>
          </a:p>
          <a:p>
            <a:pPr lvl="0" algn="r" rtl="1">
              <a:defRPr/>
            </a:pPr>
            <a:r>
              <a:rPr lang="ar" sz="1100" kern="0">
                <a:solidFill>
                  <a:schemeClr val="bg2">
                    <a:lumMod val="25000"/>
                  </a:schemeClr>
                </a:solidFill>
                <a:ea typeface="Segoe UI" pitchFamily="34" charset="0"/>
                <a:cs typeface="Tahoma" panose="020B0604030504040204" pitchFamily="34" charset="0"/>
              </a:rPr>
              <a:t>إذا لم تكن تعرف أي رمز تنسيق تستخدمه، فيمكنك استخدام </a:t>
            </a:r>
            <a:r>
              <a:rPr lang="ar" sz="1100" b="1" kern="0">
                <a:solidFill>
                  <a:schemeClr val="bg2">
                    <a:lumMod val="25000"/>
                  </a:schemeClr>
                </a:solidFill>
                <a:ea typeface="Segoe UI" pitchFamily="34" charset="0"/>
                <a:cs typeface="Tahoma" panose="020B0604030504040204" pitchFamily="34" charset="0"/>
              </a:rPr>
              <a:t>Ctrl</a:t>
            </a:r>
            <a:r>
              <a:rPr lang="en-US" sz="1100" b="1" kern="0">
                <a:solidFill>
                  <a:schemeClr val="bg2">
                    <a:lumMod val="25000"/>
                  </a:schemeClr>
                </a:solidFill>
                <a:ea typeface="Segoe UI" pitchFamily="34" charset="0"/>
                <a:cs typeface="Tahoma" panose="020B0604030504040204" pitchFamily="34" charset="0"/>
              </a:rPr>
              <a:t>+1</a:t>
            </a:r>
            <a:r>
              <a:rPr lang="ar" sz="1100" kern="0">
                <a:solidFill>
                  <a:schemeClr val="bg2">
                    <a:lumMod val="25000"/>
                  </a:schemeClr>
                </a:solidFill>
                <a:ea typeface="Segoe UI" pitchFamily="34" charset="0"/>
                <a:cs typeface="Tahoma" panose="020B0604030504040204" pitchFamily="34" charset="0"/>
              </a:rPr>
              <a:t> &gt; </a:t>
            </a:r>
            <a:r>
              <a:rPr lang="ar" sz="1100" b="1" kern="0">
                <a:solidFill>
                  <a:schemeClr val="bg2">
                    <a:lumMod val="25000"/>
                  </a:schemeClr>
                </a:solidFill>
                <a:ea typeface="Segoe UI" pitchFamily="34" charset="0"/>
                <a:cs typeface="Tahoma" panose="020B0604030504040204" pitchFamily="34" charset="0"/>
              </a:rPr>
              <a:t>الرقم </a:t>
            </a:r>
            <a:r>
              <a:rPr lang="ar" sz="1100" kern="0">
                <a:solidFill>
                  <a:schemeClr val="bg2">
                    <a:lumMod val="25000"/>
                  </a:schemeClr>
                </a:solidFill>
                <a:ea typeface="Segoe UI" pitchFamily="34" charset="0"/>
                <a:cs typeface="Tahoma" panose="020B0604030504040204" pitchFamily="34" charset="0"/>
              </a:rPr>
              <a:t>لتنسيق أي خلية بالطريقة التي تريدها.  ثم حدد </a:t>
            </a:r>
            <a:r>
              <a:rPr lang="ar" sz="1100" b="1" kern="0">
                <a:solidFill>
                  <a:schemeClr val="bg2">
                    <a:lumMod val="25000"/>
                  </a:schemeClr>
                </a:solidFill>
                <a:ea typeface="Segoe UI" pitchFamily="34" charset="0"/>
                <a:cs typeface="Tahoma" panose="020B0604030504040204" pitchFamily="34" charset="0"/>
              </a:rPr>
              <a:t>مخصص</a:t>
            </a:r>
            <a:r>
              <a:rPr lang="ar" sz="1100" b="0" kern="0">
                <a:solidFill>
                  <a:schemeClr val="bg2">
                    <a:lumMod val="25000"/>
                  </a:schemeClr>
                </a:solidFill>
                <a:ea typeface="Segoe UI" pitchFamily="34" charset="0"/>
                <a:cs typeface="Tahoma" panose="020B0604030504040204" pitchFamily="34" charset="0"/>
              </a:rPr>
              <a:t> </a:t>
            </a:r>
            <a:r>
              <a:rPr lang="ar" sz="1100" kern="0">
                <a:solidFill>
                  <a:schemeClr val="bg2">
                    <a:lumMod val="25000"/>
                  </a:schemeClr>
                </a:solidFill>
                <a:ea typeface="Segoe UI" pitchFamily="34" charset="0"/>
                <a:cs typeface="Tahoma" panose="020B0604030504040204" pitchFamily="34" charset="0"/>
              </a:rPr>
              <a:t>الخيار. يمكنك نسخ رمز التنسيق الذي تم عرضه مرة أخرى للصيغة الخاصة بك.</a:t>
            </a:r>
            <a:endParaRPr lang="en-US" sz="1100" b="0" i="0">
              <a:solidFill>
                <a:schemeClr val="bg2">
                  <a:lumMod val="25000"/>
                </a:schemeClr>
              </a:solidFill>
              <a:effectLst/>
              <a:latin typeface="+mn-lt"/>
              <a:ea typeface="Segoe UI" pitchFamily="34" charset="0"/>
              <a:cs typeface="Tahoma" panose="020B0604030504040204" pitchFamily="34" charset="0"/>
            </a:endParaRPr>
          </a:p>
        </xdr:txBody>
      </xdr:sp>
    </xdr:grpSp>
    <xdr:clientData/>
  </xdr:twoCellAnchor>
  <xdr:twoCellAnchor>
    <xdr:from>
      <xdr:col>0</xdr:col>
      <xdr:colOff>323850</xdr:colOff>
      <xdr:row>47</xdr:row>
      <xdr:rowOff>104774</xdr:rowOff>
    </xdr:from>
    <xdr:to>
      <xdr:col>1</xdr:col>
      <xdr:colOff>5209413</xdr:colOff>
      <xdr:row>59</xdr:row>
      <xdr:rowOff>171450</xdr:rowOff>
    </xdr:to>
    <xdr:grpSp>
      <xdr:nvGrpSpPr>
        <xdr:cNvPr id="110" name="المجموعة 109">
          <a:extLst>
            <a:ext uri="{FF2B5EF4-FFF2-40B4-BE49-F238E27FC236}">
              <a16:creationId xmlns:a16="http://schemas.microsoft.com/office/drawing/2014/main" id="{AB7C580B-2584-48A5-99EE-E42C35C6718F}"/>
            </a:ext>
          </a:extLst>
        </xdr:cNvPr>
        <xdr:cNvGrpSpPr/>
      </xdr:nvGrpSpPr>
      <xdr:grpSpPr>
        <a:xfrm flipH="1">
          <a:off x="11238481587" y="9201149"/>
          <a:ext cx="5847588" cy="2238376"/>
          <a:chOff x="323850" y="9629774"/>
          <a:chExt cx="5733288" cy="2066925"/>
        </a:xfrm>
      </xdr:grpSpPr>
      <xdr:sp macro="" textlink="">
        <xdr:nvSpPr>
          <xdr:cNvPr id="76" name="مستطيل 75">
            <a:extLst>
              <a:ext uri="{FF2B5EF4-FFF2-40B4-BE49-F238E27FC236}">
                <a16:creationId xmlns:a16="http://schemas.microsoft.com/office/drawing/2014/main" id="{A1C66F55-2FE6-47A1-9A10-00B61B3F4F9A}"/>
              </a:ext>
            </a:extLst>
          </xdr:cNvPr>
          <xdr:cNvSpPr/>
        </xdr:nvSpPr>
        <xdr:spPr>
          <a:xfrm flipH="1">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77" name="الخطوة" descr="المزيد من المعلومات على الويب&#10;">
            <a:extLst>
              <a:ext uri="{FF2B5EF4-FFF2-40B4-BE49-F238E27FC236}">
                <a16:creationId xmlns:a16="http://schemas.microsoft.com/office/drawing/2014/main" id="{59574A4F-7EEC-490A-8146-89F13E39510D}"/>
              </a:ext>
            </a:extLst>
          </xdr:cNvPr>
          <xdr:cNvSpPr txBox="1"/>
        </xdr:nvSpPr>
        <xdr:spPr>
          <a:xfrm flipH="1">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78" name="موصل مستقيم 77" descr="سطر مزخرف">
            <a:extLst>
              <a:ext uri="{FF2B5EF4-FFF2-40B4-BE49-F238E27FC236}">
                <a16:creationId xmlns:a16="http://schemas.microsoft.com/office/drawing/2014/main" id="{6A596E50-2AB3-4D41-8DBA-1063C5CB2B61}"/>
              </a:ext>
            </a:extLst>
          </xdr:cNvPr>
          <xdr:cNvCxnSpPr>
            <a:cxnSpLocks/>
          </xdr:cNvCxnSpPr>
        </xdr:nvCxnSpPr>
        <xdr:spPr>
          <a:xfrm flipH="1">
            <a:off x="558613" y="10149257"/>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موصل مستقيم 78" descr="سطر مزخرف">
            <a:extLst>
              <a:ext uri="{FF2B5EF4-FFF2-40B4-BE49-F238E27FC236}">
                <a16:creationId xmlns:a16="http://schemas.microsoft.com/office/drawing/2014/main" id="{B8761578-98DC-4BEB-87DA-3B4817D9D067}"/>
              </a:ext>
            </a:extLst>
          </xdr:cNvPr>
          <xdr:cNvCxnSpPr>
            <a:cxnSpLocks/>
          </xdr:cNvCxnSpPr>
        </xdr:nvCxnSpPr>
        <xdr:spPr>
          <a:xfrm flipH="1">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51</xdr:row>
      <xdr:rowOff>47801</xdr:rowOff>
    </xdr:from>
    <xdr:to>
      <xdr:col>1</xdr:col>
      <xdr:colOff>2572868</xdr:colOff>
      <xdr:row>53</xdr:row>
      <xdr:rowOff>23417</xdr:rowOff>
    </xdr:to>
    <xdr:grpSp>
      <xdr:nvGrpSpPr>
        <xdr:cNvPr id="29" name="المجموعة 28">
          <a:extLst>
            <a:ext uri="{FF2B5EF4-FFF2-40B4-BE49-F238E27FC236}">
              <a16:creationId xmlns:a16="http://schemas.microsoft.com/office/drawing/2014/main" id="{56EB2164-D147-400B-8F32-5162F0FB9573}"/>
            </a:ext>
          </a:extLst>
        </xdr:cNvPr>
        <xdr:cNvGrpSpPr/>
      </xdr:nvGrpSpPr>
      <xdr:grpSpPr>
        <a:xfrm flipH="1">
          <a:off x="11241118132" y="9868076"/>
          <a:ext cx="2999686" cy="337566"/>
          <a:chOff x="535207" y="10201451"/>
          <a:chExt cx="2885386" cy="356616"/>
        </a:xfrm>
      </xdr:grpSpPr>
      <xdr:sp macro="" textlink="">
        <xdr:nvSpPr>
          <xdr:cNvPr id="80" name="الخطوة" descr="جميع المعلومات حول الدالة TEXT&#10;&#10;&#10;">
            <a:hlinkClick xmlns:r="http://schemas.openxmlformats.org/officeDocument/2006/relationships" r:id="rId5" tooltip="حدد للتعرف على جميع المعلومات حول الدالة TEXT على الويب"/>
            <a:extLst>
              <a:ext uri="{FF2B5EF4-FFF2-40B4-BE49-F238E27FC236}">
                <a16:creationId xmlns:a16="http://schemas.microsoft.com/office/drawing/2014/main" id="{1C41B6F8-B5BE-4607-9781-910A4AB378C7}"/>
              </a:ext>
            </a:extLst>
          </xdr:cNvPr>
          <xdr:cNvSpPr txBox="1"/>
        </xdr:nvSpPr>
        <xdr:spPr>
          <a:xfrm flipH="1">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TEXT</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الدالة</a:t>
            </a:r>
          </a:p>
        </xdr:txBody>
      </xdr:sp>
      <xdr:pic>
        <xdr:nvPicPr>
          <xdr:cNvPr id="81" name="الرسم 22" descr="سهم">
            <a:hlinkClick xmlns:r="http://schemas.openxmlformats.org/officeDocument/2006/relationships" r:id="rId5" tooltip="حدد للتعرّف على المزيد من الويب"/>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53</xdr:row>
      <xdr:rowOff>69017</xdr:rowOff>
    </xdr:from>
    <xdr:to>
      <xdr:col>1</xdr:col>
      <xdr:colOff>2601630</xdr:colOff>
      <xdr:row>55</xdr:row>
      <xdr:rowOff>44633</xdr:rowOff>
    </xdr:to>
    <xdr:grpSp>
      <xdr:nvGrpSpPr>
        <xdr:cNvPr id="28" name="المجموعة 27">
          <a:extLst>
            <a:ext uri="{FF2B5EF4-FFF2-40B4-BE49-F238E27FC236}">
              <a16:creationId xmlns:a16="http://schemas.microsoft.com/office/drawing/2014/main" id="{EA729A85-5078-41D7-B98C-429FBA889789}"/>
            </a:ext>
          </a:extLst>
        </xdr:cNvPr>
        <xdr:cNvGrpSpPr/>
      </xdr:nvGrpSpPr>
      <xdr:grpSpPr>
        <a:xfrm flipH="1">
          <a:off x="11241089370" y="10251242"/>
          <a:ext cx="3028448" cy="337566"/>
          <a:chOff x="535207" y="10603667"/>
          <a:chExt cx="2914148" cy="356616"/>
        </a:xfrm>
      </xdr:grpSpPr>
      <xdr:sp macro="" textlink="">
        <xdr:nvSpPr>
          <xdr:cNvPr id="82" name="الخطوة" descr="دمج النصوص والأرقام، مرتبط ارتباطاً تشعبياً إلى الويب&#10;">
            <a:hlinkClick xmlns:r="http://schemas.openxmlformats.org/officeDocument/2006/relationships" r:id="rId8" tooltip="حدد للتعرف على جميع المعلومات حول دمج النصوص والأرقام على الويب"/>
            <a:extLst>
              <a:ext uri="{FF2B5EF4-FFF2-40B4-BE49-F238E27FC236}">
                <a16:creationId xmlns:a16="http://schemas.microsoft.com/office/drawing/2014/main" id="{FA1B0051-EB9E-450B-84EA-BC5280225915}"/>
              </a:ext>
            </a:extLst>
          </xdr:cNvPr>
          <xdr:cNvSpPr txBox="1"/>
        </xdr:nvSpPr>
        <xdr:spPr>
          <a:xfrm flipH="1">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دمج النص</a:t>
            </a:r>
            <a:r>
              <a:rPr lang="ar" sz="1100" u="sng"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والأرقام</a:t>
            </a:r>
            <a:endPar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pic>
        <xdr:nvPicPr>
          <xdr:cNvPr id="83" name="الرسم 22" descr="سهم">
            <a:hlinkClick xmlns:r="http://schemas.openxmlformats.org/officeDocument/2006/relationships" r:id="rId8" tooltip="حدد للتعرّف على المزيد من الويب"/>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55</xdr:row>
      <xdr:rowOff>95567</xdr:rowOff>
    </xdr:from>
    <xdr:to>
      <xdr:col>1</xdr:col>
      <xdr:colOff>2657475</xdr:colOff>
      <xdr:row>57</xdr:row>
      <xdr:rowOff>71183</xdr:rowOff>
    </xdr:to>
    <xdr:grpSp>
      <xdr:nvGrpSpPr>
        <xdr:cNvPr id="19" name="مجموعة 18">
          <a:extLst>
            <a:ext uri="{FF2B5EF4-FFF2-40B4-BE49-F238E27FC236}">
              <a16:creationId xmlns:a16="http://schemas.microsoft.com/office/drawing/2014/main" id="{8908DE80-CBDC-46BF-A1D9-D258E3790FF2}"/>
            </a:ext>
          </a:extLst>
        </xdr:cNvPr>
        <xdr:cNvGrpSpPr/>
      </xdr:nvGrpSpPr>
      <xdr:grpSpPr>
        <a:xfrm flipH="1">
          <a:off x="11241033525" y="10639742"/>
          <a:ext cx="3071601" cy="337566"/>
          <a:chOff x="547899" y="11011217"/>
          <a:chExt cx="2938349" cy="356616"/>
        </a:xfrm>
      </xdr:grpSpPr>
      <xdr:sp macro="" textlink="">
        <xdr:nvSpPr>
          <xdr:cNvPr id="84" name="الخطوة" descr="التدريب المجاني على Excel عبر الإنترنت، مرتبط ارتباطاً تشعبياً إلى الويب&#10;">
            <a:hlinkClick xmlns:r="http://schemas.openxmlformats.org/officeDocument/2006/relationships" r:id="rId9" tooltip="حدد للتعرف على تدريب Excel المجاني من الويب"/>
            <a:extLst>
              <a:ext uri="{FF2B5EF4-FFF2-40B4-BE49-F238E27FC236}">
                <a16:creationId xmlns:a16="http://schemas.microsoft.com/office/drawing/2014/main" id="{135564DB-95BA-4D69-9BB4-47DFF364A7BC}"/>
              </a:ext>
            </a:extLst>
          </xdr:cNvPr>
          <xdr:cNvSpPr txBox="1"/>
        </xdr:nvSpPr>
        <xdr:spPr>
          <a:xfrm flipH="1">
            <a:off x="1016132" y="11062558"/>
            <a:ext cx="2470116"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85" name="الرسم 22" descr="سهم">
            <a:hlinkClick xmlns:r="http://schemas.openxmlformats.org/officeDocument/2006/relationships" r:id="rId9" tooltip="حدد للتعرّف على المزيد من الويب"/>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86" name="المجموعة 85">
          <a:extLst>
            <a:ext uri="{FF2B5EF4-FFF2-40B4-BE49-F238E27FC236}">
              <a16:creationId xmlns:a16="http://schemas.microsoft.com/office/drawing/2014/main" id="{95BF5A4D-3D39-4151-ADB7-3BD1C77C7AAA}"/>
            </a:ext>
          </a:extLst>
        </xdr:cNvPr>
        <xdr:cNvGrpSpPr/>
      </xdr:nvGrpSpPr>
      <xdr:grpSpPr>
        <a:xfrm flipH="1">
          <a:off x="11238471300" y="352425"/>
          <a:ext cx="5848350" cy="4381500"/>
          <a:chOff x="0" y="0"/>
          <a:chExt cx="5734050" cy="4572000"/>
        </a:xfrm>
      </xdr:grpSpPr>
      <xdr:grpSp>
        <xdr:nvGrpSpPr>
          <xdr:cNvPr id="87" name="مجموعة_الخطوات">
            <a:extLst>
              <a:ext uri="{FF2B5EF4-FFF2-40B4-BE49-F238E27FC236}">
                <a16:creationId xmlns:a16="http://schemas.microsoft.com/office/drawing/2014/main" id="{A96CA760-E119-42E0-81B0-6FF77D9AC3C8}"/>
              </a:ext>
            </a:extLst>
          </xdr:cNvPr>
          <xdr:cNvGrpSpPr/>
        </xdr:nvGrpSpPr>
        <xdr:grpSpPr>
          <a:xfrm>
            <a:off x="0" y="0"/>
            <a:ext cx="5734050" cy="4572000"/>
            <a:chOff x="609600" y="1524000"/>
            <a:chExt cx="5695950" cy="4572000"/>
          </a:xfrm>
        </xdr:grpSpPr>
        <xdr:sp macro="" textlink="">
          <xdr:nvSpPr>
            <xdr:cNvPr id="97" name="نص_خلفية الجولة" descr="الخلفية">
              <a:extLst>
                <a:ext uri="{FF2B5EF4-FFF2-40B4-BE49-F238E27FC236}">
                  <a16:creationId xmlns:a16="http://schemas.microsoft.com/office/drawing/2014/main" id="{81E66454-B3D1-4304-95E2-8BD4F5D909D9}"/>
                </a:ext>
              </a:extLst>
            </xdr:cNvPr>
            <xdr:cNvSpPr/>
          </xdr:nvSpPr>
          <xdr:spPr>
            <a:xfrm flipH="1">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8" name="نص_عنوان الجولة" descr="ضم نص من خلايا مختلفة">
              <a:extLst>
                <a:ext uri="{FF2B5EF4-FFF2-40B4-BE49-F238E27FC236}">
                  <a16:creationId xmlns:a16="http://schemas.microsoft.com/office/drawing/2014/main" id="{64DE63A8-C533-4A24-94EE-0182FFA6A743}"/>
                </a:ext>
              </a:extLst>
            </xdr:cNvPr>
            <xdr:cNvSpPr txBox="1"/>
          </xdr:nvSpPr>
          <xdr:spPr>
            <a:xfrm flipH="1">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ضم نص من خلايا مختلفة</a:t>
              </a:r>
            </a:p>
          </xdr:txBody>
        </xdr:sp>
        <xdr:cxnSp macro="">
          <xdr:nvCxnSpPr>
            <xdr:cNvPr id="99" name="نص_سطر الجولة 1" descr="سطر مزخرف">
              <a:extLst>
                <a:ext uri="{FF2B5EF4-FFF2-40B4-BE49-F238E27FC236}">
                  <a16:creationId xmlns:a16="http://schemas.microsoft.com/office/drawing/2014/main" id="{56CCBBC6-CEA3-4A11-91B0-C552C6DD564E}"/>
                </a:ext>
              </a:extLst>
            </xdr:cNvPr>
            <xdr:cNvCxnSpPr>
              <a:cxnSpLocks/>
            </xdr:cNvCxnSpPr>
          </xdr:nvCxnSpPr>
          <xdr:spPr>
            <a:xfrm flipH="1">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نص_سطر الجولة 2" descr="سطر مزخرف">
              <a:extLst>
                <a:ext uri="{FF2B5EF4-FFF2-40B4-BE49-F238E27FC236}">
                  <a16:creationId xmlns:a16="http://schemas.microsoft.com/office/drawing/2014/main" id="{D1E1815B-B93B-4FAB-BF34-F8EBD480D0BC}"/>
                </a:ext>
              </a:extLst>
            </xdr:cNvPr>
            <xdr:cNvCxnSpPr>
              <a:cxnSpLocks/>
            </xdr:cNvCxnSpPr>
          </xdr:nvCxnSpPr>
          <xdr:spPr>
            <a:xfrm flipH="1">
              <a:off x="850887" y="52789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نص_مقدمة الجولة" descr="هناك عدة أوقات في Excel عندما تريد ضم نص موجود في خلايا مختلفة. هذا المثال شائع، حيث يكون لديك الاسم الأول واسم العائلة، وتريد دمجهما كاسم أول أو اسم عائلة أو الاسم بالكامل. لحسن الحظ، Excel يتيح لنا إجراء ذلك باستخدام العلامة &quot;&amp;&quot; (Shift+7).">
              <a:extLst>
                <a:ext uri="{FF2B5EF4-FFF2-40B4-BE49-F238E27FC236}">
                  <a16:creationId xmlns:a16="http://schemas.microsoft.com/office/drawing/2014/main" id="{D2702511-4771-4838-A3C1-0C5BA687014B}"/>
                </a:ext>
              </a:extLst>
            </xdr:cNvPr>
            <xdr:cNvSpPr txBox="1"/>
          </xdr:nvSpPr>
          <xdr:spPr>
            <a:xfrm flipH="1">
              <a:off x="846305" y="2224165"/>
              <a:ext cx="5216551" cy="85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هناك عدة أوقات في Excel عندما تريد ضم نص موجود في خلايا مختلفة. هذا المثال شائع، حيث يكون لديك الاسم الأول واسم العائلة، وتريد دمجهما كاسم أول أو اسم عائلة أو الاسم بالكامل. لحسن الحظ، Excel يتيح لنا إجراء ذلك باستخدام علامة العطف (</a:t>
              </a:r>
              <a:r>
                <a:rPr lang="ar"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&amp;</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 التي يمكنك إدخالها باستخدام </a:t>
              </a:r>
              <a:r>
                <a:rPr lang="ar"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Shif</a:t>
              </a:r>
              <a:r>
                <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t+7</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grpSp>
      <xdr:grpSp>
        <xdr:nvGrpSpPr>
          <xdr:cNvPr id="88" name="مجموعة_الخطوات">
            <a:extLst>
              <a:ext uri="{FF2B5EF4-FFF2-40B4-BE49-F238E27FC236}">
                <a16:creationId xmlns:a16="http://schemas.microsoft.com/office/drawing/2014/main" id="{C22B3EA9-DB64-4F67-BB25-AB505C9F6071}"/>
              </a:ext>
            </a:extLst>
          </xdr:cNvPr>
          <xdr:cNvGrpSpPr/>
        </xdr:nvGrpSpPr>
        <xdr:grpSpPr>
          <a:xfrm>
            <a:off x="238125" y="1628775"/>
            <a:ext cx="5220101" cy="596207"/>
            <a:chOff x="590674" y="7810500"/>
            <a:chExt cx="5186234" cy="596207"/>
          </a:xfrm>
        </xdr:grpSpPr>
        <xdr:sp macro="" textlink="">
          <xdr:nvSpPr>
            <xdr:cNvPr id="95" name="نص_ الخطوة" descr="في الخلية E3، أدخل =D3&amp;C3 لدمج الاسم الأول واسم العائلة. ">
              <a:extLst>
                <a:ext uri="{FF2B5EF4-FFF2-40B4-BE49-F238E27FC236}">
                  <a16:creationId xmlns:a16="http://schemas.microsoft.com/office/drawing/2014/main" id="{2019278A-5B82-42D4-A9E1-AB92ED21BA21}"/>
                </a:ext>
              </a:extLst>
            </xdr:cNvPr>
            <xdr:cNvSpPr txBox="1"/>
          </xdr:nvSpPr>
          <xdr:spPr>
            <a:xfrm flipH="1">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في الخلية E3، أدخل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=D3&amp;C3</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لدمج الاسم الأول واسم العائلة.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96" name="شكل_الخطوة" descr="1">
              <a:extLst>
                <a:ext uri="{FF2B5EF4-FFF2-40B4-BE49-F238E27FC236}">
                  <a16:creationId xmlns:a16="http://schemas.microsoft.com/office/drawing/2014/main" id="{08E6959D-49D7-4904-81A7-E70CA3454C0B}"/>
                </a:ext>
              </a:extLst>
            </xdr:cNvPr>
            <xdr:cNvSpPr/>
          </xdr:nvSpPr>
          <xdr:spPr>
            <a:xfrm flipH="1">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89" name="مجموعة_الخطوات">
            <a:extLst>
              <a:ext uri="{FF2B5EF4-FFF2-40B4-BE49-F238E27FC236}">
                <a16:creationId xmlns:a16="http://schemas.microsoft.com/office/drawing/2014/main" id="{2404CB22-1164-47A4-9503-5F5194382641}"/>
              </a:ext>
            </a:extLst>
          </xdr:cNvPr>
          <xdr:cNvGrpSpPr/>
        </xdr:nvGrpSpPr>
        <xdr:grpSpPr>
          <a:xfrm>
            <a:off x="238125" y="2166938"/>
            <a:ext cx="5220101" cy="881062"/>
            <a:chOff x="590674" y="7810500"/>
            <a:chExt cx="5186234" cy="881062"/>
          </a:xfrm>
        </xdr:grpSpPr>
        <xdr:sp macro="" textlink="">
          <xdr:nvSpPr>
            <xdr:cNvPr id="93" name="نص_ الخطوة" descr="لا يبدو اللامي عائشة على حق تماماً على الرغم من ذلك. يجب أن نضيف فاصلة ومسافة. للقيام بذلك سنستخدم علامات الاقتباس لإنشاء سلسلة نصية جديدة. وفي هذا الوقت، يتيح لنا الجزء =D3&amp;&quot;, &quot;&amp;C3 و &amp;&quot;, &quot;&amp; ضم فاصلة ومسافة بالنص في الخلايا.&#10;">
              <a:extLst>
                <a:ext uri="{FF2B5EF4-FFF2-40B4-BE49-F238E27FC236}">
                  <a16:creationId xmlns:a16="http://schemas.microsoft.com/office/drawing/2014/main" id="{08674DB0-339E-4450-B5D1-99B77DC0D664}"/>
                </a:ext>
              </a:extLst>
            </xdr:cNvPr>
            <xdr:cNvSpPr txBox="1"/>
          </xdr:nvSpPr>
          <xdr:spPr>
            <a:xfrm flipH="1">
              <a:off x="998369" y="7823883"/>
              <a:ext cx="4778539" cy="86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لا يبدو اللامي عائشة صحيحاً تماماً على الرغم من ذلك. يجب أن نضيف فاصلة ومسافة. للقيام بذلك سنستخدم علامات الاقتباس لإنشاء سلسلة نصية جديدة. هذه المرة، أدخل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=D3&amp;","&amp;C3</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يتيح لنا الجزء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&amp;", "&amp;</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ضم فاصلة ومسافة بالنص في الخلايا.</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94" name="شكل_الخطوة" descr="2">
              <a:extLst>
                <a:ext uri="{FF2B5EF4-FFF2-40B4-BE49-F238E27FC236}">
                  <a16:creationId xmlns:a16="http://schemas.microsoft.com/office/drawing/2014/main" id="{5F7A5327-6FDF-46BB-9B7E-8EB24A3ABBF2}"/>
                </a:ext>
              </a:extLst>
            </xdr:cNvPr>
            <xdr:cNvSpPr/>
          </xdr:nvSpPr>
          <xdr:spPr>
            <a:xfrm flipH="1">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nvGrpSpPr>
          <xdr:cNvPr id="90" name="مجموعة_الخطوات">
            <a:extLst>
              <a:ext uri="{FF2B5EF4-FFF2-40B4-BE49-F238E27FC236}">
                <a16:creationId xmlns:a16="http://schemas.microsoft.com/office/drawing/2014/main" id="{C702821E-6BD4-4022-98BD-DE7E30FD3E4C}"/>
              </a:ext>
            </a:extLst>
          </xdr:cNvPr>
          <xdr:cNvGrpSpPr/>
        </xdr:nvGrpSpPr>
        <xdr:grpSpPr>
          <a:xfrm>
            <a:off x="238125" y="3105150"/>
            <a:ext cx="5220101" cy="596207"/>
            <a:chOff x="590674" y="7810500"/>
            <a:chExt cx="5186234" cy="596207"/>
          </a:xfrm>
        </xdr:grpSpPr>
        <xdr:sp macro="" textlink="">
          <xdr:nvSpPr>
            <xdr:cNvPr id="91" name="نص_ الخطوة" descr="لإنشاء اسم بالكامل، سنضم الاسم الأول واسم العائلة، ولكن سنستخدم مسافة بدون فاصلة. في F3، أدخل =C3&amp;&quot; &quot;&amp;D3.">
              <a:extLst>
                <a:ext uri="{FF2B5EF4-FFF2-40B4-BE49-F238E27FC236}">
                  <a16:creationId xmlns:a16="http://schemas.microsoft.com/office/drawing/2014/main" id="{CEF374DD-E735-4BAD-8507-D3231A999B36}"/>
                </a:ext>
              </a:extLst>
            </xdr:cNvPr>
            <xdr:cNvSpPr txBox="1"/>
          </xdr:nvSpPr>
          <xdr:spPr>
            <a:xfrm flipH="1">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لإنشاء اسم بالكامل، سنضم الاسم الأول واسم العائلة، ولكن سنستخدم مسافة بدون فاصلة. في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F3</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أدخل </a:t>
              </a:r>
              <a:r>
                <a:rPr lang="en-US"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=C3&amp;" "&amp;D3</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92" name="شكل_الخطوة" descr="3">
              <a:extLst>
                <a:ext uri="{FF2B5EF4-FFF2-40B4-BE49-F238E27FC236}">
                  <a16:creationId xmlns:a16="http://schemas.microsoft.com/office/drawing/2014/main" id="{9477BB36-AB74-47F3-A687-1A347B7E572C}"/>
                </a:ext>
              </a:extLst>
            </xdr:cNvPr>
            <xdr:cNvSpPr/>
          </xdr:nvSpPr>
          <xdr:spPr>
            <a:xfrm flipH="1">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grpSp>
    </xdr:grpSp>
    <xdr:clientData/>
  </xdr:twoCellAnchor>
  <xdr:twoCellAnchor editAs="absolute">
    <xdr:from>
      <xdr:col>0</xdr:col>
      <xdr:colOff>466725</xdr:colOff>
      <xdr:row>19</xdr:row>
      <xdr:rowOff>111125</xdr:rowOff>
    </xdr:from>
    <xdr:to>
      <xdr:col>1</xdr:col>
      <xdr:colOff>2341500</xdr:colOff>
      <xdr:row>22</xdr:row>
      <xdr:rowOff>94362</xdr:rowOff>
    </xdr:to>
    <xdr:sp macro="" textlink="">
      <xdr:nvSpPr>
        <xdr:cNvPr id="102" name="زر_التعمق" descr="انتقل إلى الأسفل لمزيد من التفاصيل">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flipH="1">
          <a:off x="11241349500" y="4140200"/>
          <a:ext cx="2836800" cy="526162"/>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انتقل إلى الأسفل لمزيد من التفاصيل</a:t>
          </a:r>
        </a:p>
      </xdr:txBody>
    </xdr:sp>
    <xdr:clientData/>
  </xdr:twoCellAnchor>
  <xdr:twoCellAnchor editAs="absolute">
    <xdr:from>
      <xdr:col>1</xdr:col>
      <xdr:colOff>3657675</xdr:colOff>
      <xdr:row>19</xdr:row>
      <xdr:rowOff>130175</xdr:rowOff>
    </xdr:from>
    <xdr:to>
      <xdr:col>1</xdr:col>
      <xdr:colOff>4960875</xdr:colOff>
      <xdr:row>21</xdr:row>
      <xdr:rowOff>97324</xdr:rowOff>
    </xdr:to>
    <xdr:sp macro="" textlink="">
      <xdr:nvSpPr>
        <xdr:cNvPr id="103" name="الزر_التالي" descr="التقدم إلى الورقة التالية">
          <a:hlinkClick xmlns:r="http://schemas.openxmlformats.org/officeDocument/2006/relationships" r:id="rId2" tooltip="انقر هنا للتقدم إلى الورقة التالية"/>
          <a:extLst>
            <a:ext uri="{FF2B5EF4-FFF2-40B4-BE49-F238E27FC236}">
              <a16:creationId xmlns:a16="http://schemas.microsoft.com/office/drawing/2014/main" id="{2DE05C84-7047-4122-A2D6-137F3AEDBF12}"/>
            </a:ext>
          </a:extLst>
        </xdr:cNvPr>
        <xdr:cNvSpPr/>
      </xdr:nvSpPr>
      <xdr:spPr>
        <a:xfrm flipH="1">
          <a:off x="11238730125" y="4159250"/>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fPrintsWithSheet="0"/>
  </xdr:twoCellAnchor>
  <xdr:twoCellAnchor editAs="absolute">
    <xdr:from>
      <xdr:col>4</xdr:col>
      <xdr:colOff>34924</xdr:colOff>
      <xdr:row>33</xdr:row>
      <xdr:rowOff>57150</xdr:rowOff>
    </xdr:from>
    <xdr:to>
      <xdr:col>7</xdr:col>
      <xdr:colOff>76198</xdr:colOff>
      <xdr:row>39</xdr:row>
      <xdr:rowOff>152400</xdr:rowOff>
    </xdr:to>
    <xdr:grpSp>
      <xdr:nvGrpSpPr>
        <xdr:cNvPr id="104" name="اطلع على ذلك" descr="اطلع على ذلك&#10;&#10;">
          <a:extLst>
            <a:ext uri="{FF2B5EF4-FFF2-40B4-BE49-F238E27FC236}">
              <a16:creationId xmlns:a16="http://schemas.microsoft.com/office/drawing/2014/main" id="{EFD4E48E-5D2B-4B5E-9DBB-99430A62BD96}"/>
            </a:ext>
          </a:extLst>
        </xdr:cNvPr>
        <xdr:cNvGrpSpPr/>
      </xdr:nvGrpSpPr>
      <xdr:grpSpPr>
        <a:xfrm flipH="1">
          <a:off x="11231270402" y="6619875"/>
          <a:ext cx="3708399" cy="1181100"/>
          <a:chOff x="7539454" y="7993902"/>
          <a:chExt cx="3661140" cy="1409701"/>
        </a:xfrm>
      </xdr:grpSpPr>
      <xdr:grpSp>
        <xdr:nvGrpSpPr>
          <xdr:cNvPr id="105" name="أسطر قوس">
            <a:extLst>
              <a:ext uri="{FF2B5EF4-FFF2-40B4-BE49-F238E27FC236}">
                <a16:creationId xmlns:a16="http://schemas.microsoft.com/office/drawing/2014/main" id="{AA6B064F-4768-428F-88A8-87332CACD51B}"/>
              </a:ext>
            </a:extLst>
          </xdr:cNvPr>
          <xdr:cNvGrpSpPr/>
        </xdr:nvGrpSpPr>
        <xdr:grpSpPr>
          <a:xfrm rot="599914">
            <a:off x="7539454" y="8145377"/>
            <a:ext cx="293814" cy="698210"/>
            <a:chOff x="9871108" y="1184220"/>
            <a:chExt cx="273326" cy="789154"/>
          </a:xfrm>
        </xdr:grpSpPr>
        <xdr:sp macro="" textlink="">
          <xdr:nvSpPr>
            <xdr:cNvPr id="108" name="سطر قوس آخر" descr="سطر قوس">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sp macro="" textlink="">
          <xdr:nvSpPr>
            <xdr:cNvPr id="109" name="سطر قوس" descr="سطر قوس&#10;">
              <a:extLst>
                <a:ext uri="{FF2B5EF4-FFF2-40B4-BE49-F238E27FC236}">
                  <a16:creationId xmlns:a16="http://schemas.microsoft.com/office/drawing/2014/main" id="{4D189C00-D6D4-4561-92F7-346B05B04B41}"/>
                </a:ext>
              </a:extLst>
            </xdr:cNvPr>
            <xdr:cNvSpPr/>
          </xdr:nvSpPr>
          <xdr:spPr>
            <a:xfrm>
              <a:off x="9983012" y="1430776"/>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grpSp>
      <xdr:pic>
        <xdr:nvPicPr>
          <xdr:cNvPr id="106" name="النجوم" descr="النجوم">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7830674" y="8038700"/>
            <a:ext cx="388098" cy="337816"/>
          </a:xfrm>
          <a:prstGeom prst="rect">
            <a:avLst/>
          </a:prstGeom>
        </xdr:spPr>
      </xdr:pic>
      <xdr:sp macro="" textlink="">
        <xdr:nvSpPr>
          <xdr:cNvPr id="107" name="الإرشادات" descr="CHECK THIS OUT&#10;Formulas, especially big ones, can sometimes be hard to read, but you can break up their parts with spaces like this:&#10;&#10;=C28 &amp; &quot; &quot; &amp; TEXT(D28,&quot;MM/DD/YYYY&quot;)&#10;">
            <a:extLst>
              <a:ext uri="{FF2B5EF4-FFF2-40B4-BE49-F238E27FC236}">
                <a16:creationId xmlns:a16="http://schemas.microsoft.com/office/drawing/2014/main" id="{E1E6E972-A734-4953-9B25-6280E9FDC77E}"/>
              </a:ext>
            </a:extLst>
          </xdr:cNvPr>
          <xdr:cNvSpPr txBox="1"/>
        </xdr:nvSpPr>
        <xdr:spPr>
          <a:xfrm flipH="1">
            <a:off x="8132528" y="7993902"/>
            <a:ext cx="306806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اطلع على ذلك</a:t>
            </a:r>
          </a:p>
          <a:p>
            <a:pPr lvl="0" algn="r" rtl="1">
              <a:defRPr/>
            </a:pPr>
            <a:r>
              <a:rPr lang="ar" sz="1100" kern="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t>الصيغ،</a:t>
            </a:r>
            <a:r>
              <a:rPr lang="ar" sz="1100" kern="0" baseline="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t> لا سيما الصيغ الكبيرة، في بعض الأحيان تكون صعبة القراءة، ولكن يمكنك تقسيمها إلى أجزاء باستخدام مسافات كما يلي:</a:t>
            </a:r>
          </a:p>
          <a:p>
            <a:pPr lvl="0" algn="r" rtl="1">
              <a:defRPr/>
            </a:pPr>
            <a:endParaRPr lang="en-US" sz="1100" kern="0" baseline="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endParaRPr>
          </a:p>
          <a:p>
            <a:pPr lvl="0" algn="r" rtl="1">
              <a:defRPr/>
            </a:pPr>
            <a:r>
              <a:rPr lang="en-US" sz="1100" b="1">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t>=C28 &amp;" "&amp; TEXT(D28;"DD/MM/YYYY")</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332175</xdr:colOff>
      <xdr:row>0</xdr:row>
      <xdr:rowOff>361950</xdr:rowOff>
    </xdr:from>
    <xdr:to>
      <xdr:col>1</xdr:col>
      <xdr:colOff>5162550</xdr:colOff>
      <xdr:row>23</xdr:row>
      <xdr:rowOff>61299</xdr:rowOff>
    </xdr:to>
    <xdr:grpSp>
      <xdr:nvGrpSpPr>
        <xdr:cNvPr id="32" name="المجموعة 31">
          <a:extLst>
            <a:ext uri="{FF2B5EF4-FFF2-40B4-BE49-F238E27FC236}">
              <a16:creationId xmlns:a16="http://schemas.microsoft.com/office/drawing/2014/main" id="{32765470-045A-4DC3-91A2-013AB95EB7BA}"/>
            </a:ext>
          </a:extLst>
        </xdr:cNvPr>
        <xdr:cNvGrpSpPr/>
      </xdr:nvGrpSpPr>
      <xdr:grpSpPr>
        <a:xfrm flipH="1">
          <a:off x="11238109350" y="361950"/>
          <a:ext cx="5792400" cy="4518999"/>
          <a:chOff x="342900" y="361950"/>
          <a:chExt cx="5734050" cy="4557099"/>
        </a:xfrm>
      </xdr:grpSpPr>
      <xdr:grpSp>
        <xdr:nvGrpSpPr>
          <xdr:cNvPr id="70" name="مجموعة 69">
            <a:extLst>
              <a:ext uri="{FF2B5EF4-FFF2-40B4-BE49-F238E27FC236}">
                <a16:creationId xmlns:a16="http://schemas.microsoft.com/office/drawing/2014/main" id="{070FF1E9-A14C-476A-A31F-8E531229B90A}"/>
              </a:ext>
            </a:extLst>
          </xdr:cNvPr>
          <xdr:cNvGrpSpPr/>
        </xdr:nvGrpSpPr>
        <xdr:grpSpPr>
          <a:xfrm>
            <a:off x="342900" y="361950"/>
            <a:ext cx="5734050" cy="4557099"/>
            <a:chOff x="342900" y="342900"/>
            <a:chExt cx="5734050" cy="4419600"/>
          </a:xfrm>
        </xdr:grpSpPr>
        <xdr:sp macro="" textlink="">
          <xdr:nvSpPr>
            <xdr:cNvPr id="76" name="نص_خلفية الجولة" descr="الخلفية">
              <a:extLst>
                <a:ext uri="{FF2B5EF4-FFF2-40B4-BE49-F238E27FC236}">
                  <a16:creationId xmlns:a16="http://schemas.microsoft.com/office/drawing/2014/main" id="{32129052-3339-477F-8788-8EA08A10AD5C}"/>
                </a:ext>
              </a:extLst>
            </xdr:cNvPr>
            <xdr:cNvSpPr/>
          </xdr:nvSpPr>
          <xdr:spPr>
            <a:xfrm flipH="1">
              <a:off x="342900" y="342900"/>
              <a:ext cx="5734050" cy="44196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77" name="نص_عنوان الجولة" descr="عبارات IF">
              <a:extLst>
                <a:ext uri="{FF2B5EF4-FFF2-40B4-BE49-F238E27FC236}">
                  <a16:creationId xmlns:a16="http://schemas.microsoft.com/office/drawing/2014/main" id="{D2D2176E-742F-483D-81E1-ED859FF4E49A}"/>
                </a:ext>
              </a:extLst>
            </xdr:cNvPr>
            <xdr:cNvSpPr txBox="1"/>
          </xdr:nvSpPr>
          <xdr:spPr>
            <a:xfrm flipH="1">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عبارات IF</a:t>
              </a:r>
              <a:endParaRPr kumimoji="0" lang="en-US" sz="22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cxnSp macro="">
          <xdr:nvCxnSpPr>
            <xdr:cNvPr id="78" name="نص_سطر الجولة 1" descr="سطر مزخرف">
              <a:extLst>
                <a:ext uri="{FF2B5EF4-FFF2-40B4-BE49-F238E27FC236}">
                  <a16:creationId xmlns:a16="http://schemas.microsoft.com/office/drawing/2014/main" id="{983C4C13-C094-4FE6-8183-AEA6A2CA096C}"/>
                </a:ext>
              </a:extLst>
            </xdr:cNvPr>
            <xdr:cNvCxnSpPr>
              <a:cxnSpLocks/>
            </xdr:cNvCxnSpPr>
          </xdr:nvCxnSpPr>
          <xdr:spPr>
            <a:xfrm flipH="1">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نص_سطر الجولة 2" descr="سطر مزخرف">
              <a:extLst>
                <a:ext uri="{FF2B5EF4-FFF2-40B4-BE49-F238E27FC236}">
                  <a16:creationId xmlns:a16="http://schemas.microsoft.com/office/drawing/2014/main" id="{B9B7D386-28D6-4E40-BBBD-81C9A5683619}"/>
                </a:ext>
              </a:extLst>
            </xdr:cNvPr>
            <xdr:cNvCxnSpPr>
              <a:cxnSpLocks/>
            </xdr:cNvCxnSpPr>
          </xdr:nvCxnSpPr>
          <xdr:spPr>
            <a:xfrm flipH="1">
              <a:off x="555628" y="393594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نص_مقدمة الجولة" descr="عبارات IF تسمح لك بإجراء مقارنات منطقية بين الشروط. بشكل عام تشير عبارة IF أنه إذا كان أحد الشروط صواب فقم بشيء ما، وبخلاف ذلك إذا كان الشرط خطأ، فقم بأي شيء آخر. يمكن للصيغ الموجودة أن تقوم بإرجاع النص أو القيم أو حتى المزيد من العمليات الحسابية.&#10;">
              <a:extLst>
                <a:ext uri="{FF2B5EF4-FFF2-40B4-BE49-F238E27FC236}">
                  <a16:creationId xmlns:a16="http://schemas.microsoft.com/office/drawing/2014/main" id="{29E75ED7-FFEA-4CE5-86E1-A1A772619057}"/>
                </a:ext>
              </a:extLst>
            </xdr:cNvPr>
            <xdr:cNvSpPr txBox="1"/>
          </xdr:nvSpPr>
          <xdr:spPr>
            <a:xfrm flipH="1">
              <a:off x="562138" y="1043066"/>
              <a:ext cx="5251444" cy="731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عبارات IF تسمح لك بإجراء مقارنات منطقية بين الشروط. بشكل عام تشير عبارة IF أنه إذا كان أحد الشروط صواب فقم بشيء ما، وبخلاف ذلك، قم بأي شيء آخر. يمكن للصيغ الموجودة أن تقوم بإرجاع النص أو القيم أو حتى المزيد من العمليات الحسابية.</a:t>
              </a:r>
            </a:p>
          </xdr:txBody>
        </xdr:sp>
      </xdr:grpSp>
      <xdr:grpSp>
        <xdr:nvGrpSpPr>
          <xdr:cNvPr id="81" name="مجموعة_الخطوات">
            <a:extLst>
              <a:ext uri="{FF2B5EF4-FFF2-40B4-BE49-F238E27FC236}">
                <a16:creationId xmlns:a16="http://schemas.microsoft.com/office/drawing/2014/main" id="{62718C28-6D67-47F6-B4B4-619E5B81F03D}"/>
              </a:ext>
            </a:extLst>
          </xdr:cNvPr>
          <xdr:cNvGrpSpPr/>
        </xdr:nvGrpSpPr>
        <xdr:grpSpPr>
          <a:xfrm>
            <a:off x="571500" y="1962150"/>
            <a:ext cx="5305429" cy="596207"/>
            <a:chOff x="666377" y="7810500"/>
            <a:chExt cx="5271008" cy="596207"/>
          </a:xfrm>
        </xdr:grpSpPr>
        <xdr:sp macro="" textlink="">
          <xdr:nvSpPr>
            <xdr:cNvPr id="82" name="نص_ الخطوة" descr="في الخلية D9 أدخل =IF(C9=&quot;Apple&quot;,TRUE,FALSE). الإجابة الصحيحة TRUE.&#10;&#10;&#10;">
              <a:extLst>
                <a:ext uri="{FF2B5EF4-FFF2-40B4-BE49-F238E27FC236}">
                  <a16:creationId xmlns:a16="http://schemas.microsoft.com/office/drawing/2014/main" id="{C9F56A19-70D3-4628-8709-84489EA24BB0}"/>
                </a:ext>
              </a:extLst>
            </xdr:cNvPr>
            <xdr:cNvSpPr txBox="1"/>
          </xdr:nvSpPr>
          <xdr:spPr>
            <a:xfrm flipH="1">
              <a:off x="1074075" y="7852458"/>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D9</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قم بإدخال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=IF(C9="Apple";TRUE;FALSE)</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الإجابة الصحيحة هي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TRUE</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83" name="شكل_الخطوة" descr="1">
              <a:extLst>
                <a:ext uri="{FF2B5EF4-FFF2-40B4-BE49-F238E27FC236}">
                  <a16:creationId xmlns:a16="http://schemas.microsoft.com/office/drawing/2014/main" id="{174BEEAC-1D05-4BA3-8D44-772CDEFA2E58}"/>
                </a:ext>
              </a:extLst>
            </xdr:cNvPr>
            <xdr:cNvSpPr/>
          </xdr:nvSpPr>
          <xdr:spPr>
            <a:xfrm flipH="1">
              <a:off x="666377" y="7810500"/>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84" name="مجموعة_الخطوات">
            <a:extLst>
              <a:ext uri="{FF2B5EF4-FFF2-40B4-BE49-F238E27FC236}">
                <a16:creationId xmlns:a16="http://schemas.microsoft.com/office/drawing/2014/main" id="{685246AB-9501-4CF4-B780-BCFC62DE94CD}"/>
              </a:ext>
            </a:extLst>
          </xdr:cNvPr>
          <xdr:cNvGrpSpPr/>
        </xdr:nvGrpSpPr>
        <xdr:grpSpPr>
          <a:xfrm>
            <a:off x="571500" y="2540000"/>
            <a:ext cx="5220103" cy="596207"/>
            <a:chOff x="685304" y="7810500"/>
            <a:chExt cx="5186236" cy="596207"/>
          </a:xfrm>
        </xdr:grpSpPr>
        <xdr:sp macro="" textlink="">
          <xdr:nvSpPr>
            <xdr:cNvPr id="85" name="نص_ الخطوة" descr="انسخ D9 إلى D10. يجب أن تكون الإجابة هنا FALSE، لأن البرتقال ليس تفاحاً.&#10;&#10;">
              <a:extLst>
                <a:ext uri="{FF2B5EF4-FFF2-40B4-BE49-F238E27FC236}">
                  <a16:creationId xmlns:a16="http://schemas.microsoft.com/office/drawing/2014/main" id="{D8F2AE5E-974E-4202-A290-3F2D0EFF00C4}"/>
                </a:ext>
              </a:extLst>
            </xdr:cNvPr>
            <xdr:cNvSpPr txBox="1"/>
          </xdr:nvSpPr>
          <xdr:spPr>
            <a:xfrm flipH="1">
              <a:off x="109300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نسخ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D9</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إلى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D10</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يجب أن تكون الإجابة هنا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FALSE</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لأن برتقال ليس تفاح.</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86" name="شكل_الخطوة" descr="2">
              <a:extLst>
                <a:ext uri="{FF2B5EF4-FFF2-40B4-BE49-F238E27FC236}">
                  <a16:creationId xmlns:a16="http://schemas.microsoft.com/office/drawing/2014/main" id="{19487CBB-1C21-45D8-828F-6A02011E52A3}"/>
                </a:ext>
              </a:extLst>
            </xdr:cNvPr>
            <xdr:cNvSpPr/>
          </xdr:nvSpPr>
          <xdr:spPr>
            <a:xfrm flipH="1">
              <a:off x="68530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nvGrpSpPr>
          <xdr:cNvPr id="87" name="مجموعة_الخطوات">
            <a:extLst>
              <a:ext uri="{FF2B5EF4-FFF2-40B4-BE49-F238E27FC236}">
                <a16:creationId xmlns:a16="http://schemas.microsoft.com/office/drawing/2014/main" id="{90938F22-5BF3-4461-BD80-06D3D6849C8F}"/>
              </a:ext>
            </a:extLst>
          </xdr:cNvPr>
          <xdr:cNvGrpSpPr/>
        </xdr:nvGrpSpPr>
        <xdr:grpSpPr>
          <a:xfrm>
            <a:off x="571500" y="3165475"/>
            <a:ext cx="5220103" cy="873125"/>
            <a:chOff x="694767" y="7810500"/>
            <a:chExt cx="5186236" cy="873125"/>
          </a:xfrm>
        </xdr:grpSpPr>
        <xdr:sp macro="" textlink="">
          <xdr:nvSpPr>
            <xdr:cNvPr id="88" name="نص_ الخطوة" descr="جرب مثالاً آخر بالاطلاع على الصيغة الموجودة في الخلية D12. لقد جعلنك تبدأ بـ =IF(C12&lt;100,&quot;Less than 100&quot;,&quot;Greater than 100&quot;). ماذا يحدث إذا قمت بإدخال رقم أكبر من 100 في الخلية C12؟&#10;&#10;&#10;">
              <a:extLst>
                <a:ext uri="{FF2B5EF4-FFF2-40B4-BE49-F238E27FC236}">
                  <a16:creationId xmlns:a16="http://schemas.microsoft.com/office/drawing/2014/main" id="{E7088066-5C93-42EC-B66E-113D20980BB7}"/>
                </a:ext>
              </a:extLst>
            </xdr:cNvPr>
            <xdr:cNvSpPr txBox="1"/>
          </xdr:nvSpPr>
          <xdr:spPr>
            <a:xfrm flipH="1">
              <a:off x="1102464" y="7852458"/>
              <a:ext cx="4778539" cy="83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جرب مثالاً آخر بالاطلاع على الصيغة الموجودة 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D12</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لقد جعلنك تبدأ بـ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=IF(C12&lt;100;"Less than 100";"Greater than or equal to 100")</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ماذا يحدث إذا قمت بإدخال رقم أكبر من أو يساوي 100 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C12</a:t>
              </a:r>
              <a:r>
                <a:rPr lang="ar"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89" name="شكل_الخطوة" descr="3">
              <a:extLst>
                <a:ext uri="{FF2B5EF4-FFF2-40B4-BE49-F238E27FC236}">
                  <a16:creationId xmlns:a16="http://schemas.microsoft.com/office/drawing/2014/main" id="{A56BE1C1-41E9-483F-8A60-96A96BBFD3A7}"/>
                </a:ext>
              </a:extLst>
            </xdr:cNvPr>
            <xdr:cNvSpPr/>
          </xdr:nvSpPr>
          <xdr:spPr>
            <a:xfrm flipH="1">
              <a:off x="694767"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grpSp>
    </xdr:grpSp>
    <xdr:clientData/>
  </xdr:twoCellAnchor>
  <xdr:twoCellAnchor editAs="absolute">
    <xdr:from>
      <xdr:col>1</xdr:col>
      <xdr:colOff>3543300</xdr:colOff>
      <xdr:row>19</xdr:row>
      <xdr:rowOff>139700</xdr:rowOff>
    </xdr:from>
    <xdr:to>
      <xdr:col>1</xdr:col>
      <xdr:colOff>4846500</xdr:colOff>
      <xdr:row>21</xdr:row>
      <xdr:rowOff>106849</xdr:rowOff>
    </xdr:to>
    <xdr:sp macro="" textlink="">
      <xdr:nvSpPr>
        <xdr:cNvPr id="90" name="الزر_التالي" descr="التقدم إلى الورقة التالية">
          <a:hlinkClick xmlns:r="http://schemas.openxmlformats.org/officeDocument/2006/relationships" r:id="rId1" tooltip="انقر هنا للتقدم إلى ورقة العمل التالية"/>
          <a:extLst>
            <a:ext uri="{FF2B5EF4-FFF2-40B4-BE49-F238E27FC236}">
              <a16:creationId xmlns:a16="http://schemas.microsoft.com/office/drawing/2014/main" id="{A98A8F02-A704-4521-9F8F-C54B0653E78B}"/>
            </a:ext>
          </a:extLst>
        </xdr:cNvPr>
        <xdr:cNvSpPr/>
      </xdr:nvSpPr>
      <xdr:spPr>
        <a:xfrm flipH="1">
          <a:off x="11238339675" y="4235450"/>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xdr:twoCellAnchor>
  <xdr:twoCellAnchor editAs="absolute">
    <xdr:from>
      <xdr:col>3</xdr:col>
      <xdr:colOff>156568</xdr:colOff>
      <xdr:row>13</xdr:row>
      <xdr:rowOff>151009</xdr:rowOff>
    </xdr:from>
    <xdr:to>
      <xdr:col>5</xdr:col>
      <xdr:colOff>371475</xdr:colOff>
      <xdr:row>23</xdr:row>
      <xdr:rowOff>28571</xdr:rowOff>
    </xdr:to>
    <xdr:grpSp>
      <xdr:nvGrpSpPr>
        <xdr:cNvPr id="91" name="تفاصيل مهمة" descr="تفاصيل مهمة&#10;&#10;">
          <a:extLst>
            <a:ext uri="{FF2B5EF4-FFF2-40B4-BE49-F238E27FC236}">
              <a16:creationId xmlns:a16="http://schemas.microsoft.com/office/drawing/2014/main" id="{4DBA7152-B8FD-4056-917A-B7F06AE8B67E}"/>
            </a:ext>
          </a:extLst>
        </xdr:cNvPr>
        <xdr:cNvGrpSpPr/>
      </xdr:nvGrpSpPr>
      <xdr:grpSpPr>
        <a:xfrm flipH="1">
          <a:off x="11232480075" y="3151384"/>
          <a:ext cx="3024782" cy="1696837"/>
          <a:chOff x="6863991" y="11363324"/>
          <a:chExt cx="2736277" cy="1472147"/>
        </a:xfrm>
      </xdr:grpSpPr>
      <xdr:sp macro="" textlink="">
        <xdr:nvSpPr>
          <xdr:cNvPr id="92" name="إرشاد" descr="IMPORTANT DETAIL&#10;TRUE and FALSE are unlike other words in Excel formulas in that they don't need to be in quotes, and Excel will automatically capitalize them. Numbers don't need to be in quotes either. Regular text, like Yes or No does need to be in quotes like this: =IF(C3=&quot;Apple&quot;,&quot;Yes&quot;,&quot;No&quot;)&#10;">
            <a:extLst>
              <a:ext uri="{FF2B5EF4-FFF2-40B4-BE49-F238E27FC236}">
                <a16:creationId xmlns:a16="http://schemas.microsoft.com/office/drawing/2014/main" id="{D4187BF2-8C2C-463C-B620-D3FC580541A4}"/>
              </a:ext>
            </a:extLst>
          </xdr:cNvPr>
          <xdr:cNvSpPr txBox="1"/>
        </xdr:nvSpPr>
        <xdr:spPr>
          <a:xfrm flipH="1">
            <a:off x="7073900" y="11363324"/>
            <a:ext cx="2526368" cy="1472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تفاصيل مهمة</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TRUE</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و</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FALSE </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عكس الكلمات الأخرى في صيغ Excel في أنها لا يلزم أن تكون في علامات اقتباس، وأن Excel سيجعلهما بحروف كبيرة تلقائياً. لا يلزم أن تكون الأرقام بين علامتي اقتباس كذلك. النص العادي، مثل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نعم</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أو </a:t>
            </a:r>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لا</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يحتاج إلى أن يكون في علامات اقتباس كما في المثال التالي: </a:t>
            </a:r>
          </a:p>
          <a:p>
            <a:pPr algn="r" rtl="1" eaLnBrk="1" fontAlgn="auto" latinLnBrk="0" hangingPunct="1"/>
            <a:r>
              <a:rPr lang="en-US" sz="1100" b="1" kern="1200">
                <a:solidFill>
                  <a:schemeClr val="dk1"/>
                </a:solidFill>
                <a:latin typeface="Tahoma" panose="020B0604030504040204" pitchFamily="34" charset="0"/>
                <a:ea typeface="Tahoma" panose="020B0604030504040204" pitchFamily="34" charset="0"/>
                <a:cs typeface="Tahoma" panose="020B0604030504040204" pitchFamily="34" charset="0"/>
              </a:rPr>
              <a:t>=IF(C9="Apple";"Yes";"No")</a:t>
            </a:r>
          </a:p>
        </xdr:txBody>
      </xdr:sp>
      <xdr:pic>
        <xdr:nvPicPr>
          <xdr:cNvPr id="93" name="نظارة مكبرة" descr="عدسة تكبير">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6134100</xdr:colOff>
      <xdr:row>44</xdr:row>
      <xdr:rowOff>25399</xdr:rowOff>
    </xdr:from>
    <xdr:to>
      <xdr:col>3</xdr:col>
      <xdr:colOff>1304925</xdr:colOff>
      <xdr:row>50</xdr:row>
      <xdr:rowOff>34924</xdr:rowOff>
    </xdr:to>
    <xdr:grpSp>
      <xdr:nvGrpSpPr>
        <xdr:cNvPr id="94" name="تلميح الخبراء" descr="تلميح الخبراء">
          <a:extLst>
            <a:ext uri="{FF2B5EF4-FFF2-40B4-BE49-F238E27FC236}">
              <a16:creationId xmlns:a16="http://schemas.microsoft.com/office/drawing/2014/main" id="{4F3513E1-6B29-4E54-80FC-E2B36E732D7E}"/>
            </a:ext>
          </a:extLst>
        </xdr:cNvPr>
        <xdr:cNvGrpSpPr/>
      </xdr:nvGrpSpPr>
      <xdr:grpSpPr>
        <a:xfrm flipH="1">
          <a:off x="11234356500" y="8750299"/>
          <a:ext cx="2781300" cy="1095375"/>
          <a:chOff x="8448675" y="2143125"/>
          <a:chExt cx="2812587" cy="1107625"/>
        </a:xfrm>
      </xdr:grpSpPr>
      <xdr:pic>
        <xdr:nvPicPr>
          <xdr:cNvPr id="95" name="الرسم 2" descr="بومة">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flipH="1">
            <a:off x="8448675" y="2170284"/>
            <a:ext cx="444647" cy="444647"/>
          </a:xfrm>
          <a:prstGeom prst="rect">
            <a:avLst/>
          </a:prstGeom>
        </xdr:spPr>
      </xdr:pic>
      <xdr:sp macro="" textlink="">
        <xdr:nvSpPr>
          <xdr:cNvPr id="96" name="الخطوة" descr="EXPERT TIP&#10;Named Ranges allow you to define terms or values in a single place, and then reuse them throughout a workbook. You can see all of the named ranges in this workbook by going to Formulas &gt; Name Manager.Click here to learn more.&#10;">
            <a:hlinkClick xmlns:r="http://schemas.openxmlformats.org/officeDocument/2006/relationships" r:id="rId6" tooltip="انقر هنا للتعرّف على المزيد حول النطاقات المسماة من الويب."/>
            <a:extLst>
              <a:ext uri="{FF2B5EF4-FFF2-40B4-BE49-F238E27FC236}">
                <a16:creationId xmlns:a16="http://schemas.microsoft.com/office/drawing/2014/main" id="{CDFC5BF1-DCF8-4B3F-9426-0E409672138F}"/>
              </a:ext>
            </a:extLst>
          </xdr:cNvPr>
          <xdr:cNvSpPr txBox="1"/>
        </xdr:nvSpPr>
        <xdr:spPr>
          <a:xfrm flipH="1">
            <a:off x="8782052" y="2143125"/>
            <a:ext cx="2479210" cy="1107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تلميح الخبراء</a:t>
            </a:r>
            <a:endParaRPr lang="en-US" sz="1200" b="1">
              <a:solidFill>
                <a:srgbClr val="ED7D31">
                  <a:lumMod val="60000"/>
                  <a:lumOff val="40000"/>
                </a:srgbClr>
              </a:solidFill>
              <a:latin typeface="+mj-lt"/>
              <a:ea typeface="Segoe UI" pitchFamily="34" charset="0"/>
              <a:cs typeface="Tahoma" panose="020B0604030504040204" pitchFamily="34" charset="0"/>
            </a:endParaRPr>
          </a:p>
          <a:p>
            <a:pPr lvl="0" algn="r" rtl="1">
              <a:defRPr/>
            </a:pPr>
            <a:r>
              <a:rPr lang="ar" sz="1100" b="1" i="1" u="sng" kern="0">
                <a:solidFill>
                  <a:schemeClr val="accent1"/>
                </a:solidFill>
                <a:ea typeface="Segoe UI" pitchFamily="34" charset="0"/>
                <a:cs typeface="Tahoma" panose="020B0604030504040204" pitchFamily="34" charset="0"/>
              </a:rPr>
              <a:t>النطاقات المسماة</a:t>
            </a:r>
            <a:r>
              <a:rPr lang="ar" sz="1100" kern="0">
                <a:solidFill>
                  <a:schemeClr val="bg2">
                    <a:lumMod val="25000"/>
                  </a:schemeClr>
                </a:solidFill>
                <a:ea typeface="Segoe UI" pitchFamily="34" charset="0"/>
                <a:cs typeface="Tahoma" panose="020B0604030504040204" pitchFamily="34" charset="0"/>
              </a:rPr>
              <a:t> تسمح لك بتحديد الشروط أو القيم في مكان واحد، ثم إعادة استخدامها خلال</a:t>
            </a:r>
            <a:r>
              <a:rPr lang="ar" sz="1100" kern="0" baseline="0">
                <a:solidFill>
                  <a:schemeClr val="bg2">
                    <a:lumMod val="25000"/>
                  </a:schemeClr>
                </a:solidFill>
                <a:ea typeface="Segoe UI" pitchFamily="34" charset="0"/>
                <a:cs typeface="Tahoma" panose="020B0604030504040204" pitchFamily="34" charset="0"/>
              </a:rPr>
              <a:t> مصنف. يمكنك رؤية جميع النطاقات المسماة في هذا المصنف عن طريق الانتقال إلى </a:t>
            </a:r>
            <a:r>
              <a:rPr lang="ar" sz="1100" b="1" kern="0" baseline="0">
                <a:solidFill>
                  <a:schemeClr val="bg2">
                    <a:lumMod val="25000"/>
                  </a:schemeClr>
                </a:solidFill>
                <a:ea typeface="Segoe UI" pitchFamily="34" charset="0"/>
                <a:cs typeface="Tahoma" panose="020B0604030504040204" pitchFamily="34" charset="0"/>
              </a:rPr>
              <a:t>الصيغ</a:t>
            </a:r>
            <a:r>
              <a:rPr lang="ar" sz="1100" kern="0" baseline="0">
                <a:solidFill>
                  <a:schemeClr val="bg2">
                    <a:lumMod val="25000"/>
                  </a:schemeClr>
                </a:solidFill>
                <a:ea typeface="Segoe UI" pitchFamily="34" charset="0"/>
                <a:cs typeface="Tahoma" panose="020B0604030504040204" pitchFamily="34" charset="0"/>
              </a:rPr>
              <a:t> &gt; </a:t>
            </a:r>
            <a:r>
              <a:rPr lang="ar" sz="1100" b="1" kern="0" baseline="0">
                <a:solidFill>
                  <a:schemeClr val="bg2">
                    <a:lumMod val="25000"/>
                  </a:schemeClr>
                </a:solidFill>
                <a:ea typeface="Segoe UI" pitchFamily="34" charset="0"/>
                <a:cs typeface="Tahoma" panose="020B0604030504040204" pitchFamily="34" charset="0"/>
              </a:rPr>
              <a:t>إدارة الأسماء.</a:t>
            </a:r>
            <a:r>
              <a:rPr lang="ar" sz="1100" b="0" kern="0" baseline="0">
                <a:solidFill>
                  <a:schemeClr val="bg2">
                    <a:lumMod val="25000"/>
                  </a:schemeClr>
                </a:solidFill>
                <a:ea typeface="Segoe UI" pitchFamily="34" charset="0"/>
                <a:cs typeface="Tahoma" panose="020B0604030504040204" pitchFamily="34" charset="0"/>
              </a:rPr>
              <a:t> انقر هنا للتعرّف على المزيد</a:t>
            </a:r>
            <a:endParaRPr lang="en-US" sz="1100" b="0">
              <a:solidFill>
                <a:schemeClr val="bg2">
                  <a:lumMod val="25000"/>
                </a:schemeClr>
              </a:solidFill>
              <a:ea typeface="Segoe UI" pitchFamily="34" charset="0"/>
              <a:cs typeface="Tahoma" panose="020B0604030504040204" pitchFamily="34" charset="0"/>
            </a:endParaRPr>
          </a:p>
        </xdr:txBody>
      </xdr:sp>
    </xdr:grpSp>
    <xdr:clientData/>
  </xdr:twoCellAnchor>
  <xdr:twoCellAnchor editAs="absolute">
    <xdr:from>
      <xdr:col>6</xdr:col>
      <xdr:colOff>587376</xdr:colOff>
      <xdr:row>33</xdr:row>
      <xdr:rowOff>131474</xdr:rowOff>
    </xdr:from>
    <xdr:to>
      <xdr:col>11</xdr:col>
      <xdr:colOff>171450</xdr:colOff>
      <xdr:row>42</xdr:row>
      <xdr:rowOff>163379</xdr:rowOff>
    </xdr:to>
    <xdr:grpSp>
      <xdr:nvGrpSpPr>
        <xdr:cNvPr id="97" name="من الرائع معرفة أنه" descr="من الرائع معرفة أن&#10;&#10;">
          <a:extLst>
            <a:ext uri="{FF2B5EF4-FFF2-40B4-BE49-F238E27FC236}">
              <a16:creationId xmlns:a16="http://schemas.microsoft.com/office/drawing/2014/main" id="{B45D0037-257A-421E-9928-F95C71F032DA}"/>
            </a:ext>
          </a:extLst>
        </xdr:cNvPr>
        <xdr:cNvGrpSpPr/>
      </xdr:nvGrpSpPr>
      <xdr:grpSpPr>
        <a:xfrm flipH="1">
          <a:off x="11228431950" y="6818024"/>
          <a:ext cx="3013074" cy="1708305"/>
          <a:chOff x="6778625" y="15619705"/>
          <a:chExt cx="3174461" cy="1671345"/>
        </a:xfrm>
      </xdr:grpSpPr>
      <xdr:sp macro="" textlink="">
        <xdr:nvSpPr>
          <xdr:cNvPr id="98" name="الخطوة" descr="GOOD TO KNOW&#10;When you create a formula, Excel will automatically place colored borders around any ranges referenced in the formula, and the corresponding ranges in the formula will be the same color. You can see this if you select cell F33 and press F2 to edit the formula.&#10;">
            <a:extLst>
              <a:ext uri="{FF2B5EF4-FFF2-40B4-BE49-F238E27FC236}">
                <a16:creationId xmlns:a16="http://schemas.microsoft.com/office/drawing/2014/main" id="{4E9138CF-FAE4-468F-879F-55F3178773BE}"/>
              </a:ext>
            </a:extLst>
          </xdr:cNvPr>
          <xdr:cNvSpPr txBox="1"/>
        </xdr:nvSpPr>
        <xdr:spPr>
          <a:xfrm flipH="1">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من الرائع معرفة أنه</a:t>
            </a:r>
            <a:endParaRPr lang="en-US" sz="1200" b="1">
              <a:solidFill>
                <a:srgbClr val="ED7D31">
                  <a:lumMod val="60000"/>
                  <a:lumOff val="40000"/>
                </a:srgbClr>
              </a:solidFill>
              <a:latin typeface="+mj-lt"/>
              <a:ea typeface="Segoe UI"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mn-lt"/>
                <a:ea typeface="+mn-ea"/>
                <a:cs typeface="Tahoma" panose="020B0604030504040204" pitchFamily="34" charset="0"/>
              </a:rPr>
              <a:t>عند إنشاء صيغة، سيقوم Excel تلقائياً بوضع حدود ملونة حول أي نطاقات مشار إليها في الصيغة، وستصبح النطاقات المقابلة في الصيغة بنفس اللون. يمكنك الاطلاع على هذا إذا قمت بتحديد الخلية F33 والضغط على </a:t>
            </a:r>
            <a:r>
              <a:rPr lang="ar" sz="1100" b="1" i="0" kern="1200" baseline="0">
                <a:solidFill>
                  <a:schemeClr val="dk1"/>
                </a:solidFill>
                <a:effectLst/>
                <a:latin typeface="+mn-lt"/>
                <a:ea typeface="+mn-ea"/>
                <a:cs typeface="Tahoma" panose="020B0604030504040204" pitchFamily="34" charset="0"/>
              </a:rPr>
              <a:t>F2</a:t>
            </a:r>
            <a:r>
              <a:rPr lang="ar" sz="1100" b="0" i="0" kern="1200" baseline="0">
                <a:solidFill>
                  <a:schemeClr val="dk1"/>
                </a:solidFill>
                <a:effectLst/>
                <a:latin typeface="+mn-lt"/>
                <a:ea typeface="+mn-ea"/>
                <a:cs typeface="Tahoma" panose="020B0604030504040204" pitchFamily="34" charset="0"/>
              </a:rPr>
              <a:t> لتحرير الصيغة.</a:t>
            </a:r>
            <a:endParaRPr lang="en-US" sz="1100">
              <a:effectLst/>
              <a:latin typeface="+mn-lt"/>
              <a:cs typeface="Tahoma" panose="020B0604030504040204" pitchFamily="34" charset="0"/>
            </a:endParaRPr>
          </a:p>
        </xdr:txBody>
      </xdr:sp>
      <xdr:pic>
        <xdr:nvPicPr>
          <xdr:cNvPr id="99" name="الرسم 147" descr="نظارات">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flipH="1">
            <a:off x="6778625" y="15619705"/>
            <a:ext cx="323347" cy="349115"/>
          </a:xfrm>
          <a:prstGeom prst="rect">
            <a:avLst/>
          </a:prstGeom>
        </xdr:spPr>
      </xdr:pic>
    </xdr:grpSp>
    <xdr:clientData/>
  </xdr:twoCellAnchor>
  <xdr:twoCellAnchor editAs="absolute">
    <xdr:from>
      <xdr:col>0</xdr:col>
      <xdr:colOff>581025</xdr:colOff>
      <xdr:row>19</xdr:row>
      <xdr:rowOff>139700</xdr:rowOff>
    </xdr:from>
    <xdr:to>
      <xdr:col>1</xdr:col>
      <xdr:colOff>2455800</xdr:colOff>
      <xdr:row>22</xdr:row>
      <xdr:rowOff>122937</xdr:rowOff>
    </xdr:to>
    <xdr:sp macro="" textlink="">
      <xdr:nvSpPr>
        <xdr:cNvPr id="100" name="زر_التعمق" descr="انتقل إلى الأسفل لمزيد من التفاصيل">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flipH="1">
          <a:off x="11240730375" y="4235450"/>
          <a:ext cx="2836800" cy="526162"/>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انتقل إلى الأسفل لمزيد من التفاصيل</a:t>
          </a:r>
        </a:p>
      </xdr:txBody>
    </xdr:sp>
    <xdr:clientData/>
  </xdr:twoCellAnchor>
  <xdr:twoCellAnchor editAs="absolute">
    <xdr:from>
      <xdr:col>0</xdr:col>
      <xdr:colOff>333375</xdr:colOff>
      <xdr:row>23</xdr:row>
      <xdr:rowOff>136524</xdr:rowOff>
    </xdr:from>
    <xdr:to>
      <xdr:col>1</xdr:col>
      <xdr:colOff>5162550</xdr:colOff>
      <xdr:row>54</xdr:row>
      <xdr:rowOff>101599</xdr:rowOff>
    </xdr:to>
    <xdr:grpSp>
      <xdr:nvGrpSpPr>
        <xdr:cNvPr id="31" name="المجموعة 30">
          <a:extLst>
            <a:ext uri="{FF2B5EF4-FFF2-40B4-BE49-F238E27FC236}">
              <a16:creationId xmlns:a16="http://schemas.microsoft.com/office/drawing/2014/main" id="{D5949D2E-3383-4D0F-B2BE-8F45CB07F6DF}"/>
            </a:ext>
          </a:extLst>
        </xdr:cNvPr>
        <xdr:cNvGrpSpPr/>
      </xdr:nvGrpSpPr>
      <xdr:grpSpPr>
        <a:xfrm flipH="1">
          <a:off x="11238109350" y="4956174"/>
          <a:ext cx="5791200" cy="5680075"/>
          <a:chOff x="333375" y="5000624"/>
          <a:chExt cx="5734050" cy="5772150"/>
        </a:xfrm>
      </xdr:grpSpPr>
      <xdr:sp macro="" textlink="">
        <xdr:nvSpPr>
          <xdr:cNvPr id="101" name="نص_خلفية الجولة" descr="الخلفية">
            <a:extLst>
              <a:ext uri="{FF2B5EF4-FFF2-40B4-BE49-F238E27FC236}">
                <a16:creationId xmlns:a16="http://schemas.microsoft.com/office/drawing/2014/main" id="{D30CE2FF-D296-4C22-A916-909B28036CE0}"/>
              </a:ext>
            </a:extLst>
          </xdr:cNvPr>
          <xdr:cNvSpPr/>
        </xdr:nvSpPr>
        <xdr:spPr>
          <a:xfrm flipH="1">
            <a:off x="333375" y="5000624"/>
            <a:ext cx="5734050" cy="5772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02" name="نص_عنوان الجولة" descr="عبارة IF مع دالة أخرى">
            <a:extLst>
              <a:ext uri="{FF2B5EF4-FFF2-40B4-BE49-F238E27FC236}">
                <a16:creationId xmlns:a16="http://schemas.microsoft.com/office/drawing/2014/main" id="{55BCAE42-E599-41F5-B838-9192A7014F94}"/>
              </a:ext>
            </a:extLst>
          </xdr:cNvPr>
          <xdr:cNvSpPr txBox="1"/>
        </xdr:nvSpPr>
        <xdr:spPr>
          <a:xfrm flipH="1">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عبارة IF مع دالة أخرى</a:t>
            </a:r>
          </a:p>
        </xdr:txBody>
      </xdr:sp>
      <xdr:cxnSp macro="">
        <xdr:nvCxnSpPr>
          <xdr:cNvPr id="103" name="نص_سطر الجولة 1" descr="سطر مزخرف">
            <a:extLst>
              <a:ext uri="{FF2B5EF4-FFF2-40B4-BE49-F238E27FC236}">
                <a16:creationId xmlns:a16="http://schemas.microsoft.com/office/drawing/2014/main" id="{E5355D6B-8054-4E69-B15F-4A97B4403130}"/>
              </a:ext>
            </a:extLst>
          </xdr:cNvPr>
          <xdr:cNvCxnSpPr>
            <a:cxnSpLocks/>
          </xdr:cNvCxnSpPr>
        </xdr:nvCxnSpPr>
        <xdr:spPr>
          <a:xfrm flipH="1">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نص_سطر الجولة 2" descr="سطر مزخرف">
            <a:extLst>
              <a:ext uri="{FF2B5EF4-FFF2-40B4-BE49-F238E27FC236}">
                <a16:creationId xmlns:a16="http://schemas.microsoft.com/office/drawing/2014/main" id="{8891E0FB-F07B-444F-B967-54078E830D13}"/>
              </a:ext>
            </a:extLst>
          </xdr:cNvPr>
          <xdr:cNvCxnSpPr>
            <a:cxnSpLocks/>
          </xdr:cNvCxnSpPr>
        </xdr:nvCxnSpPr>
        <xdr:spPr>
          <a:xfrm flipH="1">
            <a:off x="546103" y="1001624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نص_مقدمة الجولة" descr="يمكن أيضاً أن تفرض عبارات IF أن يتم تنفيذ عمليات حسابية إضافية إذا تحقق شرط معين. هنا سنقوم بتقييم خلية لرؤية ما إذا كان يجب فرض ضريبة المبيعات، ويتم حسابها إذا كان الشرط صواباً.&#10;&#10;">
            <a:extLst>
              <a:ext uri="{FF2B5EF4-FFF2-40B4-BE49-F238E27FC236}">
                <a16:creationId xmlns:a16="http://schemas.microsoft.com/office/drawing/2014/main" id="{ADFF8084-9F56-49BC-A834-D77F4DF98649}"/>
              </a:ext>
            </a:extLst>
          </xdr:cNvPr>
          <xdr:cNvSpPr txBox="1"/>
        </xdr:nvSpPr>
        <xdr:spPr>
          <a:xfrm flipH="1">
            <a:off x="571663" y="5716150"/>
            <a:ext cx="5251444" cy="703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يمكن أيضاً أن تفرض عبارات IF أن يتم تنفيذ عمليات حسابية إضافية إذا تحقق شرط معين. هنا سنقوم بتقييم خلية لرؤية ما إذا كان يجب فرض ضريبة المبيعات، ويتم حسابها إذا كان الشرط صواباً.</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grpSp>
        <xdr:nvGrpSpPr>
          <xdr:cNvPr id="106" name="مجموعة_الخطوات">
            <a:extLst>
              <a:ext uri="{FF2B5EF4-FFF2-40B4-BE49-F238E27FC236}">
                <a16:creationId xmlns:a16="http://schemas.microsoft.com/office/drawing/2014/main" id="{5CDE601E-EF9E-420E-80FC-F58C2BA9720A}"/>
              </a:ext>
            </a:extLst>
          </xdr:cNvPr>
          <xdr:cNvGrpSpPr/>
        </xdr:nvGrpSpPr>
        <xdr:grpSpPr>
          <a:xfrm>
            <a:off x="561975" y="6486525"/>
            <a:ext cx="5295900" cy="1076324"/>
            <a:chOff x="581211" y="7810500"/>
            <a:chExt cx="5261541" cy="1076324"/>
          </a:xfrm>
        </xdr:grpSpPr>
        <xdr:sp macro="" textlink="">
          <xdr:nvSpPr>
            <xdr:cNvPr id="107" name="نص_ الخطوة" descr="In cell F33, we've entered =IF(E33=&quot;Yes&quot;,F31*SalesTax,0), where we set up SalesTax as a Named Range with a value of 0.0825. Our formula says If cell E33 equals Yes, then multiply cell F31 times SalesTax, otherwise return a 0.&#10;&#10;Try changing Yes to No in cell E33 to see the calculation change.&#10;">
              <a:extLst>
                <a:ext uri="{FF2B5EF4-FFF2-40B4-BE49-F238E27FC236}">
                  <a16:creationId xmlns:a16="http://schemas.microsoft.com/office/drawing/2014/main" id="{318A84D0-F949-42C9-8946-3CA9B70E8414}"/>
                </a:ext>
              </a:extLst>
            </xdr:cNvPr>
            <xdr:cNvSpPr txBox="1"/>
          </xdr:nvSpPr>
          <xdr:spPr>
            <a:xfrm flipH="1">
              <a:off x="998369" y="7852457"/>
              <a:ext cx="4844383" cy="1034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F33</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قمنا بإدخال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=IF(E33="Yes";F31*SalesTax;0)</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حيث أننا قمنا بإعداد ضريبة_المبيعات</a:t>
              </a:r>
              <a:r>
                <a:rPr lang="ar-SA"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ك</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نطاق مسمى</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بقيمة 0.0825. تشير الصيغة إلى أنه في حالة ما إذا كانت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E33</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تساوي نعم، فقم بإجراء عملية ضرب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F31</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في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SalesTax،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وبخلاف ذلك يتم إرجاع 0.</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rPr>
                <a:t>حاول تغيير نعم إلى لا في الخلية E33 للاطلاع على تغيير العملية الحسابية.</a:t>
              </a:r>
            </a:p>
          </xdr:txBody>
        </xdr:sp>
        <xdr:sp macro="" textlink="">
          <xdr:nvSpPr>
            <xdr:cNvPr id="108" name="شكل_الخطوة" descr="1">
              <a:extLst>
                <a:ext uri="{FF2B5EF4-FFF2-40B4-BE49-F238E27FC236}">
                  <a16:creationId xmlns:a16="http://schemas.microsoft.com/office/drawing/2014/main" id="{189261EA-9568-4614-85E1-C72A54F4B205}"/>
                </a:ext>
              </a:extLst>
            </xdr:cNvPr>
            <xdr:cNvSpPr/>
          </xdr:nvSpPr>
          <xdr:spPr>
            <a:xfrm flipH="1">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109" name="مجموعة_الخطوات">
            <a:extLst>
              <a:ext uri="{FF2B5EF4-FFF2-40B4-BE49-F238E27FC236}">
                <a16:creationId xmlns:a16="http://schemas.microsoft.com/office/drawing/2014/main" id="{BFF24217-919E-4D15-B472-AB89F019AF8E}"/>
              </a:ext>
            </a:extLst>
          </xdr:cNvPr>
          <xdr:cNvGrpSpPr/>
        </xdr:nvGrpSpPr>
        <xdr:grpSpPr>
          <a:xfrm>
            <a:off x="561975" y="7658100"/>
            <a:ext cx="5229626" cy="876300"/>
            <a:chOff x="581211" y="7810500"/>
            <a:chExt cx="5195697" cy="876300"/>
          </a:xfrm>
        </xdr:grpSpPr>
        <xdr:sp macro="" textlink="">
          <xdr:nvSpPr>
            <xdr:cNvPr id="110" name="نص_ الخطوة" descr="بعد ذلك، قمنا بإضافة عبارة IF لحساب الشحن إذا كان مطلوباً. في الخلية F35 ستتمكن من رؤية =IF(E35=&quot;Yes&quot;,SUM(D28:D29)*1.25,0). يشير هذا إلى أنه &quot;في حالة ما إذا كانت الخلايا E35 نعم، فخذ مجموع عمود الكمية في الجدول أعلاه وقم بإجراء عملية ضرب عليه في 1.25، وبخلاف ذلك يتم إرجاع 0&quot;.&#10;">
              <a:extLst>
                <a:ext uri="{FF2B5EF4-FFF2-40B4-BE49-F238E27FC236}">
                  <a16:creationId xmlns:a16="http://schemas.microsoft.com/office/drawing/2014/main" id="{AEA982A9-56DB-413C-8C06-090FF22D1BCD}"/>
                </a:ext>
              </a:extLst>
            </xdr:cNvPr>
            <xdr:cNvSpPr txBox="1"/>
          </xdr:nvSpPr>
          <xdr:spPr>
            <a:xfrm flipH="1">
              <a:off x="998369" y="7852458"/>
              <a:ext cx="4778539" cy="834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بعد ذلك، قمنا بإضافة عبارة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IF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لحساب الشحن إذا كان مطلوباً. 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F35</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ستتمكن من رؤية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=IF(E35="Yes";SUM(D28:D29)*1.25;0)</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يشير هذا إلى أنه "في حالة ما إذا كانت الخلايا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E35</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نعم، فخذ مجموع عمود الكمية في الجدول أعلاه وقم بإجراء عملية ضرب عليه في 1.25، وبخلاف ذلك يتم إرجاع 0"</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11" name="شكل_الخطوة" descr="2">
              <a:extLst>
                <a:ext uri="{FF2B5EF4-FFF2-40B4-BE49-F238E27FC236}">
                  <a16:creationId xmlns:a16="http://schemas.microsoft.com/office/drawing/2014/main" id="{BCCAD99D-66BF-4E4A-8BE8-EB9E7692B65E}"/>
                </a:ext>
              </a:extLst>
            </xdr:cNvPr>
            <xdr:cNvSpPr/>
          </xdr:nvSpPr>
          <xdr:spPr>
            <a:xfrm flipH="1">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nvGrpSpPr>
          <xdr:cNvPr id="112" name="مجموعة_الخطوات">
            <a:extLst>
              <a:ext uri="{FF2B5EF4-FFF2-40B4-BE49-F238E27FC236}">
                <a16:creationId xmlns:a16="http://schemas.microsoft.com/office/drawing/2014/main" id="{BF6B2B89-C936-492B-9E7C-BBD3854AF4D9}"/>
              </a:ext>
            </a:extLst>
          </xdr:cNvPr>
          <xdr:cNvGrpSpPr/>
        </xdr:nvGrpSpPr>
        <xdr:grpSpPr>
          <a:xfrm>
            <a:off x="561975" y="8572500"/>
            <a:ext cx="5229626" cy="1266825"/>
            <a:chOff x="581211" y="7810500"/>
            <a:chExt cx="5195697" cy="1266825"/>
          </a:xfrm>
        </xdr:grpSpPr>
        <xdr:sp macro="" textlink="">
          <xdr:nvSpPr>
            <xdr:cNvPr id="113" name="نص_ الخطوة" descr="بعد ذلك، قم بتغيير 1.25 في الصيغة في الخلية F35 إلى &quot;شحن&quot;. مع بدء الكتابة، يبدأ التصحيح التلقائي في Excel لك. عند حدوث ذلك، اضغط على المفتاح Tab لإدخال الكلمة. هذا نطاق مُسمى ونحن أدخلناه من الصيغ &gt; تعريف اسم. والآن، إذا كنت بحاجة لتغيير تكلفة الشحن الخاص بك، يجب عليك القيام بذلك في مكان واحد، ويمكنك استخدام اسم الشحن في أي مكان في المصنف.&#10;&#10;">
              <a:extLst>
                <a:ext uri="{FF2B5EF4-FFF2-40B4-BE49-F238E27FC236}">
                  <a16:creationId xmlns:a16="http://schemas.microsoft.com/office/drawing/2014/main" id="{A722657B-F5BE-4EA5-BAAE-C570DA0E3B71}"/>
                </a:ext>
              </a:extLst>
            </xdr:cNvPr>
            <xdr:cNvSpPr txBox="1"/>
          </xdr:nvSpPr>
          <xdr:spPr>
            <a:xfrm flipH="1">
              <a:off x="998369" y="7852458"/>
              <a:ext cx="4778539" cy="1224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بعد ذلك، قم بتغيير 1.25 في الصيغة في الخلية </a:t>
              </a:r>
              <a:r>
                <a:rPr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F35</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إلى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شحن</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عند بدء الكتابة، يجب أن يعثر التصحيح التلقائي في Excel التلقائي عليه نيابة عنك. عندما يحدث ذلك، اضغط على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Tab</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لإدخاله. هذا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نطاق مسمى</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وقمنا بإدخاله من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الصيغ</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&gt;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تعريف</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اسم. والآن، إذا كنت بحاجة لتغيير تكلفة الشحن الخاص بك، يجب عليك القيام بذلك في مكان واحد، ويمكنك استخدام اسم الشحن في أي مكان في المصنف.</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114" name="شكل_الخطوة" descr="3">
              <a:extLst>
                <a:ext uri="{FF2B5EF4-FFF2-40B4-BE49-F238E27FC236}">
                  <a16:creationId xmlns:a16="http://schemas.microsoft.com/office/drawing/2014/main" id="{9DDD420D-C72F-4430-9995-3824DE1CAC4D}"/>
                </a:ext>
              </a:extLst>
            </xdr:cNvPr>
            <xdr:cNvSpPr/>
          </xdr:nvSpPr>
          <xdr:spPr>
            <a:xfrm flipH="1">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grpSp>
    </xdr:grpSp>
    <xdr:clientData/>
  </xdr:twoCellAnchor>
  <xdr:twoCellAnchor editAs="absolute">
    <xdr:from>
      <xdr:col>0</xdr:col>
      <xdr:colOff>523875</xdr:colOff>
      <xdr:row>51</xdr:row>
      <xdr:rowOff>120650</xdr:rowOff>
    </xdr:from>
    <xdr:to>
      <xdr:col>1</xdr:col>
      <xdr:colOff>865050</xdr:colOff>
      <xdr:row>53</xdr:row>
      <xdr:rowOff>87799</xdr:rowOff>
    </xdr:to>
    <xdr:sp macro="" textlink="">
      <xdr:nvSpPr>
        <xdr:cNvPr id="115" name="الزر_السابق" descr="الرجوع إلى الورقة السابقة">
          <a:hlinkClick xmlns:r="http://schemas.openxmlformats.org/officeDocument/2006/relationships" r:id="rId10" tooltip="انقر هنا للعودة إلى الورقة السابقة"/>
          <a:extLst>
            <a:ext uri="{FF2B5EF4-FFF2-40B4-BE49-F238E27FC236}">
              <a16:creationId xmlns:a16="http://schemas.microsoft.com/office/drawing/2014/main" id="{F139BCB5-BA52-4BA9-B27E-80EDF1CA9815}"/>
            </a:ext>
          </a:extLst>
        </xdr:cNvPr>
        <xdr:cNvSpPr/>
      </xdr:nvSpPr>
      <xdr:spPr>
        <a:xfrm>
          <a:off x="11242321125" y="10112375"/>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clientData fPrintsWithSheet="0"/>
  </xdr:twoCellAnchor>
  <xdr:twoCellAnchor editAs="absolute">
    <xdr:from>
      <xdr:col>1</xdr:col>
      <xdr:colOff>3638550</xdr:colOff>
      <xdr:row>51</xdr:row>
      <xdr:rowOff>120650</xdr:rowOff>
    </xdr:from>
    <xdr:to>
      <xdr:col>1</xdr:col>
      <xdr:colOff>4941750</xdr:colOff>
      <xdr:row>53</xdr:row>
      <xdr:rowOff>87799</xdr:rowOff>
    </xdr:to>
    <xdr:sp macro="" textlink="">
      <xdr:nvSpPr>
        <xdr:cNvPr id="116" name="الزر_التالي" descr="التقدم إلى الورقة التالية">
          <a:hlinkClick xmlns:r="http://schemas.openxmlformats.org/officeDocument/2006/relationships" r:id="rId1" tooltip="انقر هنا للعودة إلى الورقة السابقة"/>
          <a:extLst>
            <a:ext uri="{FF2B5EF4-FFF2-40B4-BE49-F238E27FC236}">
              <a16:creationId xmlns:a16="http://schemas.microsoft.com/office/drawing/2014/main" id="{BBF61831-9570-4211-818C-38318F38D015}"/>
            </a:ext>
          </a:extLst>
        </xdr:cNvPr>
        <xdr:cNvSpPr/>
      </xdr:nvSpPr>
      <xdr:spPr>
        <a:xfrm flipH="1">
          <a:off x="11238244425" y="10112375"/>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fPrintsWithSheet="0"/>
  </xdr:twoCellAnchor>
  <xdr:twoCellAnchor editAs="absolute">
    <xdr:from>
      <xdr:col>0</xdr:col>
      <xdr:colOff>352426</xdr:colOff>
      <xdr:row>55</xdr:row>
      <xdr:rowOff>28575</xdr:rowOff>
    </xdr:from>
    <xdr:to>
      <xdr:col>1</xdr:col>
      <xdr:colOff>5153026</xdr:colOff>
      <xdr:row>68</xdr:row>
      <xdr:rowOff>168275</xdr:rowOff>
    </xdr:to>
    <xdr:grpSp>
      <xdr:nvGrpSpPr>
        <xdr:cNvPr id="117" name="المجموعة 116">
          <a:extLst>
            <a:ext uri="{FF2B5EF4-FFF2-40B4-BE49-F238E27FC236}">
              <a16:creationId xmlns:a16="http://schemas.microsoft.com/office/drawing/2014/main" id="{A4810020-C4C7-483B-BB90-6111CE7B8559}"/>
            </a:ext>
          </a:extLst>
        </xdr:cNvPr>
        <xdr:cNvGrpSpPr/>
      </xdr:nvGrpSpPr>
      <xdr:grpSpPr>
        <a:xfrm flipH="1">
          <a:off x="11238118874" y="10744200"/>
          <a:ext cx="5762625" cy="2492375"/>
          <a:chOff x="352425" y="10715625"/>
          <a:chExt cx="5733288" cy="2390775"/>
        </a:xfrm>
      </xdr:grpSpPr>
      <xdr:sp macro="" textlink="">
        <xdr:nvSpPr>
          <xdr:cNvPr id="118" name="مستطيل 117">
            <a:extLst>
              <a:ext uri="{FF2B5EF4-FFF2-40B4-BE49-F238E27FC236}">
                <a16:creationId xmlns:a16="http://schemas.microsoft.com/office/drawing/2014/main" id="{41DB9D98-1135-4D04-A479-162FD39F4940}"/>
              </a:ext>
            </a:extLst>
          </xdr:cNvPr>
          <xdr:cNvSpPr/>
        </xdr:nvSpPr>
        <xdr:spPr>
          <a:xfrm flipH="1">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119" name="الخطوة" descr="المزيد من المعلومات على الويب&#10;">
            <a:extLst>
              <a:ext uri="{FF2B5EF4-FFF2-40B4-BE49-F238E27FC236}">
                <a16:creationId xmlns:a16="http://schemas.microsoft.com/office/drawing/2014/main" id="{CBBC5FE0-1D35-4FA7-A2AF-7339726448D7}"/>
              </a:ext>
            </a:extLst>
          </xdr:cNvPr>
          <xdr:cNvSpPr txBox="1"/>
        </xdr:nvSpPr>
        <xdr:spPr>
          <a:xfrm flipH="1">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121" name="موصل مستقيم 120" descr="سطر مزخرف">
            <a:extLst>
              <a:ext uri="{FF2B5EF4-FFF2-40B4-BE49-F238E27FC236}">
                <a16:creationId xmlns:a16="http://schemas.microsoft.com/office/drawing/2014/main" id="{6592F069-6C25-4390-8BAB-B70BB811B85E}"/>
              </a:ext>
            </a:extLst>
          </xdr:cNvPr>
          <xdr:cNvCxnSpPr>
            <a:cxnSpLocks/>
          </xdr:cNvCxnSpPr>
        </xdr:nvCxnSpPr>
        <xdr:spPr>
          <a:xfrm flipH="1">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موصل مستقيم 71" descr="سطر مزخرف">
            <a:extLst>
              <a:ext uri="{FF2B5EF4-FFF2-40B4-BE49-F238E27FC236}">
                <a16:creationId xmlns:a16="http://schemas.microsoft.com/office/drawing/2014/main" id="{C5EC57CE-9B46-46D7-8D21-0D9415D893AF}"/>
              </a:ext>
            </a:extLst>
          </xdr:cNvPr>
          <xdr:cNvCxnSpPr>
            <a:cxnSpLocks/>
          </xdr:cNvCxnSpPr>
        </xdr:nvCxnSpPr>
        <xdr:spPr>
          <a:xfrm flipH="1">
            <a:off x="544407" y="1131312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موصل مستقيم 72" descr="سطر مزخرف">
            <a:extLst>
              <a:ext uri="{FF2B5EF4-FFF2-40B4-BE49-F238E27FC236}">
                <a16:creationId xmlns:a16="http://schemas.microsoft.com/office/drawing/2014/main" id="{7C9853C8-AABB-40DC-8E21-1B84AEE76B0B}"/>
              </a:ext>
            </a:extLst>
          </xdr:cNvPr>
          <xdr:cNvCxnSpPr>
            <a:cxnSpLocks/>
          </xdr:cNvCxnSpPr>
        </xdr:nvCxnSpPr>
        <xdr:spPr>
          <a:xfrm flipH="1">
            <a:off x="54440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58</xdr:row>
      <xdr:rowOff>162644</xdr:rowOff>
    </xdr:from>
    <xdr:to>
      <xdr:col>1</xdr:col>
      <xdr:colOff>2266950</xdr:colOff>
      <xdr:row>60</xdr:row>
      <xdr:rowOff>153423</xdr:rowOff>
    </xdr:to>
    <xdr:grpSp>
      <xdr:nvGrpSpPr>
        <xdr:cNvPr id="30" name="مجموعة 29">
          <a:extLst>
            <a:ext uri="{FF2B5EF4-FFF2-40B4-BE49-F238E27FC236}">
              <a16:creationId xmlns:a16="http://schemas.microsoft.com/office/drawing/2014/main" id="{734055A1-8444-407E-B760-0BF685C60AE8}"/>
            </a:ext>
          </a:extLst>
        </xdr:cNvPr>
        <xdr:cNvGrpSpPr/>
      </xdr:nvGrpSpPr>
      <xdr:grpSpPr>
        <a:xfrm flipH="1">
          <a:off x="11241004950" y="11421194"/>
          <a:ext cx="2666569" cy="352729"/>
          <a:chOff x="562406" y="11418019"/>
          <a:chExt cx="2866594" cy="359079"/>
        </a:xfrm>
      </xdr:grpSpPr>
      <xdr:sp macro="" textlink="">
        <xdr:nvSpPr>
          <xdr:cNvPr id="122" name="الخطوة" descr="جميع المعلومات حول الدالة IF، مرتبط ارتباطاً تشعبياً إلى الويب&#10;&#10;">
            <a:hlinkClick xmlns:r="http://schemas.openxmlformats.org/officeDocument/2006/relationships" r:id="rId11" tooltip="حدد للتعرف على جميع المعلومات حول الدالة IF على الويب"/>
            <a:extLst>
              <a:ext uri="{FF2B5EF4-FFF2-40B4-BE49-F238E27FC236}">
                <a16:creationId xmlns:a16="http://schemas.microsoft.com/office/drawing/2014/main" id="{C0A7CC9F-DB96-4F0E-B2C2-8BD914BE74EC}"/>
              </a:ext>
            </a:extLst>
          </xdr:cNvPr>
          <xdr:cNvSpPr txBox="1"/>
        </xdr:nvSpPr>
        <xdr:spPr>
          <a:xfrm flipH="1">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IF</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 </a:t>
            </a:r>
          </a:p>
        </xdr:txBody>
      </xdr:sp>
      <xdr:pic>
        <xdr:nvPicPr>
          <xdr:cNvPr id="123" name="الرسم 22" descr="سهم">
            <a:hlinkClick xmlns:r="http://schemas.openxmlformats.org/officeDocument/2006/relationships" r:id="rId11" tooltip="حدد للتعرّف على المزيد من الويب"/>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60</xdr:row>
      <xdr:rowOff>169410</xdr:rowOff>
    </xdr:from>
    <xdr:to>
      <xdr:col>1</xdr:col>
      <xdr:colOff>2352675</xdr:colOff>
      <xdr:row>62</xdr:row>
      <xdr:rowOff>165499</xdr:rowOff>
    </xdr:to>
    <xdr:grpSp>
      <xdr:nvGrpSpPr>
        <xdr:cNvPr id="29" name="المجموعة 28">
          <a:extLst>
            <a:ext uri="{FF2B5EF4-FFF2-40B4-BE49-F238E27FC236}">
              <a16:creationId xmlns:a16="http://schemas.microsoft.com/office/drawing/2014/main" id="{B13CA61E-C0BF-4685-82BB-1ADFEB7A3BE0}"/>
            </a:ext>
          </a:extLst>
        </xdr:cNvPr>
        <xdr:cNvGrpSpPr/>
      </xdr:nvGrpSpPr>
      <xdr:grpSpPr>
        <a:xfrm flipH="1">
          <a:off x="11240919225" y="11789910"/>
          <a:ext cx="2752294" cy="358039"/>
          <a:chOff x="562406" y="11793085"/>
          <a:chExt cx="2895169" cy="364389"/>
        </a:xfrm>
      </xdr:grpSpPr>
      <xdr:sp macro="" textlink="">
        <xdr:nvSpPr>
          <xdr:cNvPr id="124" name="الخطوة" descr="جميع المعلومات حول الدالة IFS، مرتبط ارتباطاً تشعبياً إلى الويب&#10;">
            <a:hlinkClick xmlns:r="http://schemas.openxmlformats.org/officeDocument/2006/relationships" r:id="rId14" tooltip="حدد للتعرف على جميع المعلومات حول الدالة IFS على الويب"/>
            <a:extLst>
              <a:ext uri="{FF2B5EF4-FFF2-40B4-BE49-F238E27FC236}">
                <a16:creationId xmlns:a16="http://schemas.microsoft.com/office/drawing/2014/main" id="{AD0BC53A-C4C7-465E-A99E-D4C6A4A4165C}"/>
              </a:ext>
            </a:extLst>
          </xdr:cNvPr>
          <xdr:cNvSpPr txBox="1"/>
        </xdr:nvSpPr>
        <xdr:spPr>
          <a:xfrm flipH="1">
            <a:off x="1027591" y="118702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IFS</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pic>
        <xdr:nvPicPr>
          <xdr:cNvPr id="125" name="الرسم 22" descr="سهم">
            <a:hlinkClick xmlns:r="http://schemas.openxmlformats.org/officeDocument/2006/relationships" r:id="rId14" tooltip="حدد للتعرّف على المزيد من الويب"/>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562407</xdr:colOff>
      <xdr:row>65</xdr:row>
      <xdr:rowOff>47928</xdr:rowOff>
    </xdr:from>
    <xdr:to>
      <xdr:col>1</xdr:col>
      <xdr:colOff>3343275</xdr:colOff>
      <xdr:row>67</xdr:row>
      <xdr:rowOff>44017</xdr:rowOff>
    </xdr:to>
    <xdr:grpSp>
      <xdr:nvGrpSpPr>
        <xdr:cNvPr id="20" name="المجموعة 19">
          <a:extLst>
            <a:ext uri="{FF2B5EF4-FFF2-40B4-BE49-F238E27FC236}">
              <a16:creationId xmlns:a16="http://schemas.microsoft.com/office/drawing/2014/main" id="{0552D274-B7DD-441F-82AB-F9C18F3F1907}"/>
            </a:ext>
          </a:extLst>
        </xdr:cNvPr>
        <xdr:cNvGrpSpPr/>
      </xdr:nvGrpSpPr>
      <xdr:grpSpPr>
        <a:xfrm flipH="1">
          <a:off x="11239928625" y="12573303"/>
          <a:ext cx="3742893" cy="358039"/>
          <a:chOff x="562406" y="12586003"/>
          <a:chExt cx="4020755" cy="364389"/>
        </a:xfrm>
      </xdr:grpSpPr>
      <xdr:sp macro="" textlink="">
        <xdr:nvSpPr>
          <xdr:cNvPr id="126" name="الخطوة" descr="التدريب المجاني على Excel عبر الإنترنت، مرتبط ارتباطاً تشعبياً إلى الويب&#10;">
            <a:hlinkClick xmlns:r="http://schemas.openxmlformats.org/officeDocument/2006/relationships" r:id="rId15" tooltip="حدد للتعرف على تدريب Excel المجاني عبر الإنترنت من الويب"/>
            <a:extLst>
              <a:ext uri="{FF2B5EF4-FFF2-40B4-BE49-F238E27FC236}">
                <a16:creationId xmlns:a16="http://schemas.microsoft.com/office/drawing/2014/main" id="{7825C514-8FA2-4A6D-AF39-649B9CAF9255}"/>
              </a:ext>
            </a:extLst>
          </xdr:cNvPr>
          <xdr:cNvSpPr txBox="1"/>
        </xdr:nvSpPr>
        <xdr:spPr>
          <a:xfrm flipH="1">
            <a:off x="1040199" y="12637107"/>
            <a:ext cx="3542962"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127" name="الرسم 22" descr="سهم">
            <a:hlinkClick xmlns:r="http://schemas.openxmlformats.org/officeDocument/2006/relationships" r:id="rId15" tooltip="حدد للتعرّف على المزيد من الويب"/>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63</xdr:row>
      <xdr:rowOff>3686</xdr:rowOff>
    </xdr:from>
    <xdr:to>
      <xdr:col>1</xdr:col>
      <xdr:colOff>2266950</xdr:colOff>
      <xdr:row>64</xdr:row>
      <xdr:rowOff>177575</xdr:rowOff>
    </xdr:to>
    <xdr:grpSp>
      <xdr:nvGrpSpPr>
        <xdr:cNvPr id="25" name="المجموعة 24">
          <a:extLst>
            <a:ext uri="{FF2B5EF4-FFF2-40B4-BE49-F238E27FC236}">
              <a16:creationId xmlns:a16="http://schemas.microsoft.com/office/drawing/2014/main" id="{F1DB9CDB-5B09-4600-8014-FE097D5CAA92}"/>
            </a:ext>
          </a:extLst>
        </xdr:cNvPr>
        <xdr:cNvGrpSpPr/>
      </xdr:nvGrpSpPr>
      <xdr:grpSpPr>
        <a:xfrm flipH="1">
          <a:off x="11241004950" y="12167111"/>
          <a:ext cx="2666569" cy="354864"/>
          <a:chOff x="562406" y="12173461"/>
          <a:chExt cx="2895169" cy="364389"/>
        </a:xfrm>
      </xdr:grpSpPr>
      <xdr:sp macro="" textlink="">
        <xdr:nvSpPr>
          <xdr:cNvPr id="128" name="الخطوة" descr="عبارات IF متقدمة مرتبطة ارتباطاً تشعبياً إلى الويب&#10;">
            <a:hlinkClick xmlns:r="http://schemas.openxmlformats.org/officeDocument/2006/relationships" r:id="rId16" tooltip="حدد للتعرف على جميع المعلومات حول الدالة IF من الويب"/>
            <a:extLst>
              <a:ext uri="{FF2B5EF4-FFF2-40B4-BE49-F238E27FC236}">
                <a16:creationId xmlns:a16="http://schemas.microsoft.com/office/drawing/2014/main" id="{A9F717A5-C172-477E-B496-085AE6F25AC6}"/>
              </a:ext>
            </a:extLst>
          </xdr:cNvPr>
          <xdr:cNvSpPr txBox="1"/>
        </xdr:nvSpPr>
        <xdr:spPr>
          <a:xfrm flipH="1">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عبارات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IF</a:t>
            </a:r>
            <a:r>
              <a:rPr lang="ar-SA"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المتقدمة</a:t>
            </a:r>
          </a:p>
        </xdr:txBody>
      </xdr:sp>
      <xdr:pic>
        <xdr:nvPicPr>
          <xdr:cNvPr id="129" name="الرسم 22" descr="سهم">
            <a:hlinkClick xmlns:r="http://schemas.openxmlformats.org/officeDocument/2006/relationships" r:id="rId16" tooltip="حدد للتعرّف على المزيد من الويب"/>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238126</xdr:colOff>
      <xdr:row>52</xdr:row>
      <xdr:rowOff>90780</xdr:rowOff>
    </xdr:from>
    <xdr:to>
      <xdr:col>3</xdr:col>
      <xdr:colOff>1457326</xdr:colOff>
      <xdr:row>63</xdr:row>
      <xdr:rowOff>39118</xdr:rowOff>
    </xdr:to>
    <xdr:pic>
      <xdr:nvPicPr>
        <xdr:cNvPr id="2" name="الصورة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xdr:blipFill>
      <xdr:spPr>
        <a:xfrm>
          <a:off x="11234204099" y="10263480"/>
          <a:ext cx="2524125" cy="193906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نص_خلفية الجولة" descr="الخلفية">
          <a:extLst>
            <a:ext uri="{FF2B5EF4-FFF2-40B4-BE49-F238E27FC236}">
              <a16:creationId xmlns:a16="http://schemas.microsoft.com/office/drawing/2014/main" id="{CCCCB7BF-CE8C-47D9-ADC2-CAB1C8F28444}"/>
            </a:ext>
          </a:extLst>
        </xdr:cNvPr>
        <xdr:cNvSpPr/>
      </xdr:nvSpPr>
      <xdr:spPr>
        <a:xfrm flipH="1">
          <a:off x="333375" y="361950"/>
          <a:ext cx="573405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نص_عنوان الجولة" descr="VLOOKUP">
          <a:extLst>
            <a:ext uri="{FF2B5EF4-FFF2-40B4-BE49-F238E27FC236}">
              <a16:creationId xmlns:a16="http://schemas.microsoft.com/office/drawing/2014/main" id="{3EBEB25B-D27C-4E9F-8C1A-4065BEB3CAE6}"/>
            </a:ext>
          </a:extLst>
        </xdr:cNvPr>
        <xdr:cNvSpPr txBox="1"/>
      </xdr:nvSpPr>
      <xdr:spPr>
        <a:xfrm flipH="1">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VLOOKUP</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نص_سطر الجولة 1" descr="سطر مزخرف">
          <a:extLst>
            <a:ext uri="{FF2B5EF4-FFF2-40B4-BE49-F238E27FC236}">
              <a16:creationId xmlns:a16="http://schemas.microsoft.com/office/drawing/2014/main" id="{AD07593A-5131-4BF8-AF2C-A67F78121C50}"/>
            </a:ext>
          </a:extLst>
        </xdr:cNvPr>
        <xdr:cNvCxnSpPr>
          <a:cxnSpLocks/>
        </xdr:cNvCxnSpPr>
      </xdr:nvCxnSpPr>
      <xdr:spPr>
        <a:xfrm flipH="1">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نص_سطر الجولة 2" descr="سطر مزخرف">
          <a:extLst>
            <a:ext uri="{FF2B5EF4-FFF2-40B4-BE49-F238E27FC236}">
              <a16:creationId xmlns:a16="http://schemas.microsoft.com/office/drawing/2014/main" id="{9A557736-21EE-450F-A993-CC32130FE9FB}"/>
            </a:ext>
          </a:extLst>
        </xdr:cNvPr>
        <xdr:cNvCxnSpPr>
          <a:cxnSpLocks/>
        </xdr:cNvCxnSpPr>
      </xdr:nvCxnSpPr>
      <xdr:spPr>
        <a:xfrm flipH="1">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6</xdr:row>
      <xdr:rowOff>0</xdr:rowOff>
    </xdr:to>
    <xdr:sp macro="" textlink="">
      <xdr:nvSpPr>
        <xdr:cNvPr id="85" name="نص_مقدمة الجولة" descr="الدالة VLOOKUP واحدة من الدالات المنتشرة بشكل واسع في Excel (وواحدة من أدواتنا المفضلة جداً!). تتيح لك الدالة VLOOKUP إمكانية البحث عن قيمة في عمود على الجانب الأيمن، ثم تقوم بإرجاع المعلومات في عمود آخر على الجانب الأيسر إذا عثرت على مطابقة، تقول VLOOKUP:&#10;&#10;">
          <a:extLst>
            <a:ext uri="{FF2B5EF4-FFF2-40B4-BE49-F238E27FC236}">
              <a16:creationId xmlns:a16="http://schemas.microsoft.com/office/drawing/2014/main" id="{F9326461-020C-4B3F-9364-21D592985D33}"/>
            </a:ext>
          </a:extLst>
        </xdr:cNvPr>
        <xdr:cNvSpPr txBox="1"/>
      </xdr:nvSpPr>
      <xdr:spPr>
        <a:xfrm flipH="1">
          <a:off x="571663" y="1062116"/>
          <a:ext cx="5251444" cy="652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الدالة VLOOKUP واحدة من الدالات المنتشرة بشكل واسع في Excel (وواحدة من أدواتنا المفضلة جداً!). تتيح لك الدالة VLOOKUP إمكانية البحث عن قيمة في عمود على الجانب الأيمن، ثم تقوم بإرجاع المعلومات في عمود آخر على الجانب الأيسر إذا عثرت على مطابقة. تشير VLOOKUP إلى:</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xdr:from>
      <xdr:col>0</xdr:col>
      <xdr:colOff>600144</xdr:colOff>
      <xdr:row>20</xdr:row>
      <xdr:rowOff>33313</xdr:rowOff>
    </xdr:from>
    <xdr:to>
      <xdr:col>1</xdr:col>
      <xdr:colOff>4991587</xdr:colOff>
      <xdr:row>23</xdr:row>
      <xdr:rowOff>171450</xdr:rowOff>
    </xdr:to>
    <xdr:grpSp>
      <xdr:nvGrpSpPr>
        <xdr:cNvPr id="3" name="المجموعة 2">
          <a:extLst>
            <a:ext uri="{FF2B5EF4-FFF2-40B4-BE49-F238E27FC236}">
              <a16:creationId xmlns:a16="http://schemas.microsoft.com/office/drawing/2014/main" id="{A668747A-127E-4399-9A99-C2F143BEE89C}"/>
            </a:ext>
          </a:extLst>
        </xdr:cNvPr>
        <xdr:cNvGrpSpPr/>
      </xdr:nvGrpSpPr>
      <xdr:grpSpPr>
        <a:xfrm flipH="1">
          <a:off x="10924888763" y="4414813"/>
          <a:ext cx="5353468" cy="709637"/>
          <a:chOff x="561975" y="4357663"/>
          <a:chExt cx="5229626" cy="709637"/>
        </a:xfrm>
      </xdr:grpSpPr>
      <xdr:sp macro="" textlink="">
        <xdr:nvSpPr>
          <xdr:cNvPr id="87" name="نص_ الخطوة" descr="في الخلية D22، أدخل =VLOOKUP(C22,C17:D20,2,FALSE). الإجابة الصحيحة للتفاح هي 50. الدالة VLOOKUP بحثت عن تفاح، ووجدته، ثم انتقلت عموداً واحداً إلى اليمين، وقامت بإرجاع القيمة.&#10;&#10;">
            <a:extLst>
              <a:ext uri="{FF2B5EF4-FFF2-40B4-BE49-F238E27FC236}">
                <a16:creationId xmlns:a16="http://schemas.microsoft.com/office/drawing/2014/main" id="{86ABB85B-8210-41EF-B43E-824CD9F5377E}"/>
              </a:ext>
            </a:extLst>
          </xdr:cNvPr>
          <xdr:cNvSpPr txBox="1"/>
        </xdr:nvSpPr>
        <xdr:spPr>
          <a:xfrm flipH="1">
            <a:off x="981857" y="4399621"/>
            <a:ext cx="4809744" cy="66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D22</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أدخل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=VLOOKUP(C22;C17:D20;2;FALSE)</a:t>
            </a:r>
            <a:r>
              <a:rPr lang="ar-SA"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الإجابة الصحيحة للتفاح هي 50. الدالة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VLOOKUP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بحثت عن تفاح، ووجدته، ثم انتقلت عموداً واحداً إلى اليمين، وقامت بإرجاع القيمة.</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88" name="شكل_الخطوة" descr="1">
            <a:extLst>
              <a:ext uri="{FF2B5EF4-FFF2-40B4-BE49-F238E27FC236}">
                <a16:creationId xmlns:a16="http://schemas.microsoft.com/office/drawing/2014/main" id="{8141B3F4-E0DE-4A23-A755-A408DA852693}"/>
              </a:ext>
            </a:extLst>
          </xdr:cNvPr>
          <xdr:cNvSpPr/>
        </xdr:nvSpPr>
        <xdr:spPr>
          <a:xfrm flipH="1">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clientData/>
  </xdr:twoCellAnchor>
  <xdr:twoCellAnchor>
    <xdr:from>
      <xdr:col>0</xdr:col>
      <xdr:colOff>600144</xdr:colOff>
      <xdr:row>23</xdr:row>
      <xdr:rowOff>119038</xdr:rowOff>
    </xdr:from>
    <xdr:to>
      <xdr:col>1</xdr:col>
      <xdr:colOff>4991587</xdr:colOff>
      <xdr:row>26</xdr:row>
      <xdr:rowOff>143745</xdr:rowOff>
    </xdr:to>
    <xdr:grpSp>
      <xdr:nvGrpSpPr>
        <xdr:cNvPr id="2" name="المجموعة 1">
          <a:extLst>
            <a:ext uri="{FF2B5EF4-FFF2-40B4-BE49-F238E27FC236}">
              <a16:creationId xmlns:a16="http://schemas.microsoft.com/office/drawing/2014/main" id="{7248ACEA-EF5C-407C-9476-B09DAE8F48D8}"/>
            </a:ext>
          </a:extLst>
        </xdr:cNvPr>
        <xdr:cNvGrpSpPr/>
      </xdr:nvGrpSpPr>
      <xdr:grpSpPr>
        <a:xfrm flipH="1">
          <a:off x="10924888763" y="5072038"/>
          <a:ext cx="5353468" cy="596207"/>
          <a:chOff x="561975" y="5072038"/>
          <a:chExt cx="5229626" cy="596207"/>
        </a:xfrm>
      </xdr:grpSpPr>
      <xdr:sp macro="" textlink="">
        <xdr:nvSpPr>
          <xdr:cNvPr id="90" name="نص_ الخطوة" descr="والآن جرب بنفسك في المقطع لحوم، في الخلية G22. يجب أن ينتهي الأمر بـ =VLOOKUP(F22,F17:G20,2,FALSE).&#10;&#10;">
            <a:extLst>
              <a:ext uri="{FF2B5EF4-FFF2-40B4-BE49-F238E27FC236}">
                <a16:creationId xmlns:a16="http://schemas.microsoft.com/office/drawing/2014/main" id="{B68C980F-AA7F-4426-944A-38ECD1891095}"/>
              </a:ext>
            </a:extLst>
          </xdr:cNvPr>
          <xdr:cNvSpPr txBox="1"/>
        </xdr:nvSpPr>
        <xdr:spPr>
          <a:xfrm flipH="1">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والآن جرب بنفسك في المقطع لحوم، 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G22</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يجب أن ينتهي الأمر بـ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=VLOOKUP(F22;F17:G20;2;FALSE)</a:t>
            </a:r>
            <a:r>
              <a:rPr lang="ar"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a:t>
            </a:r>
            <a:endPar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91" name="شكل_الخطوة" descr="2">
            <a:extLst>
              <a:ext uri="{FF2B5EF4-FFF2-40B4-BE49-F238E27FC236}">
                <a16:creationId xmlns:a16="http://schemas.microsoft.com/office/drawing/2014/main" id="{A53BC9E1-CA0C-49C0-9F67-A1E10DB61244}"/>
              </a:ext>
            </a:extLst>
          </xdr:cNvPr>
          <xdr:cNvSpPr/>
        </xdr:nvSpPr>
        <xdr:spPr>
          <a:xfrm flipH="1">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clientData/>
  </xdr:twoCellAnchor>
  <xdr:twoCellAnchor editAs="absolute">
    <xdr:from>
      <xdr:col>1</xdr:col>
      <xdr:colOff>3629025</xdr:colOff>
      <xdr:row>27</xdr:row>
      <xdr:rowOff>185713</xdr:rowOff>
    </xdr:from>
    <xdr:to>
      <xdr:col>1</xdr:col>
      <xdr:colOff>4932225</xdr:colOff>
      <xdr:row>29</xdr:row>
      <xdr:rowOff>140162</xdr:rowOff>
    </xdr:to>
    <xdr:sp macro="" textlink="">
      <xdr:nvSpPr>
        <xdr:cNvPr id="92" name="الزر_التالي" descr="التقدم إلى الورقة التالية">
          <a:hlinkClick xmlns:r="http://schemas.openxmlformats.org/officeDocument/2006/relationships" r:id="rId1" tooltip="انقر هنا للتقدم إلى ورقة العمل التالية"/>
          <a:extLst>
            <a:ext uri="{FF2B5EF4-FFF2-40B4-BE49-F238E27FC236}">
              <a16:creationId xmlns:a16="http://schemas.microsoft.com/office/drawing/2014/main" id="{36902CA8-91B2-4B89-B6B0-496D7B8D6012}"/>
            </a:ext>
          </a:extLst>
        </xdr:cNvPr>
        <xdr:cNvSpPr/>
      </xdr:nvSpPr>
      <xdr:spPr>
        <a:xfrm flipH="1">
          <a:off x="10924948125" y="5900713"/>
          <a:ext cx="130320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xdr:twoCellAnchor>
  <xdr:twoCellAnchor>
    <xdr:from>
      <xdr:col>0</xdr:col>
      <xdr:colOff>333375</xdr:colOff>
      <xdr:row>59</xdr:row>
      <xdr:rowOff>123796</xdr:rowOff>
    </xdr:from>
    <xdr:to>
      <xdr:col>1</xdr:col>
      <xdr:colOff>5218938</xdr:colOff>
      <xdr:row>75</xdr:row>
      <xdr:rowOff>171449</xdr:rowOff>
    </xdr:to>
    <xdr:grpSp>
      <xdr:nvGrpSpPr>
        <xdr:cNvPr id="93" name="المجموعة 92">
          <a:extLst>
            <a:ext uri="{FF2B5EF4-FFF2-40B4-BE49-F238E27FC236}">
              <a16:creationId xmlns:a16="http://schemas.microsoft.com/office/drawing/2014/main" id="{6AD4BB42-C99A-40EC-9E51-AFE390CD9507}"/>
            </a:ext>
          </a:extLst>
        </xdr:cNvPr>
        <xdr:cNvGrpSpPr/>
      </xdr:nvGrpSpPr>
      <xdr:grpSpPr>
        <a:xfrm flipH="1">
          <a:off x="10924661412" y="11934796"/>
          <a:ext cx="5847588" cy="3095653"/>
          <a:chOff x="0" y="5524499"/>
          <a:chExt cx="5695950" cy="3095653"/>
        </a:xfrm>
      </xdr:grpSpPr>
      <xdr:sp macro="" textlink="">
        <xdr:nvSpPr>
          <xdr:cNvPr id="94" name="مستطيل 93">
            <a:extLst>
              <a:ext uri="{FF2B5EF4-FFF2-40B4-BE49-F238E27FC236}">
                <a16:creationId xmlns:a16="http://schemas.microsoft.com/office/drawing/2014/main" id="{CB220E95-575B-4BFE-A97A-4AFC50F13B21}"/>
              </a:ext>
            </a:extLst>
          </xdr:cNvPr>
          <xdr:cNvSpPr/>
        </xdr:nvSpPr>
        <xdr:spPr>
          <a:xfrm flipH="1">
            <a:off x="0" y="5524499"/>
            <a:ext cx="5695950" cy="309565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95" name="الخطوة" descr="المزيد من المعلومات على الويب&#10;">
            <a:extLst>
              <a:ext uri="{FF2B5EF4-FFF2-40B4-BE49-F238E27FC236}">
                <a16:creationId xmlns:a16="http://schemas.microsoft.com/office/drawing/2014/main" id="{FE87144C-F98E-4BA5-A974-1D4FD44ACF2A}"/>
              </a:ext>
            </a:extLst>
          </xdr:cNvPr>
          <xdr:cNvSpPr txBox="1"/>
        </xdr:nvSpPr>
        <xdr:spPr>
          <a:xfrm flipH="1">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96" name="موصل مستقيم 95" descr="سطر مزخرف">
            <a:extLst>
              <a:ext uri="{FF2B5EF4-FFF2-40B4-BE49-F238E27FC236}">
                <a16:creationId xmlns:a16="http://schemas.microsoft.com/office/drawing/2014/main" id="{FC75038A-1A57-4810-A200-F441A155BA62}"/>
              </a:ext>
            </a:extLst>
          </xdr:cNvPr>
          <xdr:cNvCxnSpPr>
            <a:cxnSpLocks/>
          </xdr:cNvCxnSpPr>
        </xdr:nvCxnSpPr>
        <xdr:spPr>
          <a:xfrm flipH="1">
            <a:off x="233234" y="616546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موصل مستقيم 96" descr="سطر مزخرف">
            <a:extLst>
              <a:ext uri="{FF2B5EF4-FFF2-40B4-BE49-F238E27FC236}">
                <a16:creationId xmlns:a16="http://schemas.microsoft.com/office/drawing/2014/main" id="{EAFBA7B8-06DC-4A15-A998-B588F058D108}"/>
              </a:ext>
            </a:extLst>
          </xdr:cNvPr>
          <xdr:cNvCxnSpPr>
            <a:cxnSpLocks/>
          </xdr:cNvCxnSpPr>
        </xdr:nvCxnSpPr>
        <xdr:spPr>
          <a:xfrm flipH="1">
            <a:off x="233234" y="8340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63</xdr:row>
      <xdr:rowOff>121341</xdr:rowOff>
    </xdr:from>
    <xdr:to>
      <xdr:col>1</xdr:col>
      <xdr:colOff>2581275</xdr:colOff>
      <xdr:row>65</xdr:row>
      <xdr:rowOff>99420</xdr:rowOff>
    </xdr:to>
    <xdr:grpSp>
      <xdr:nvGrpSpPr>
        <xdr:cNvPr id="17" name="المجموعة 16">
          <a:extLst>
            <a:ext uri="{FF2B5EF4-FFF2-40B4-BE49-F238E27FC236}">
              <a16:creationId xmlns:a16="http://schemas.microsoft.com/office/drawing/2014/main" id="{AA259A6F-5BA1-4BA7-97B7-539D915D1A18}"/>
            </a:ext>
          </a:extLst>
        </xdr:cNvPr>
        <xdr:cNvGrpSpPr/>
      </xdr:nvGrpSpPr>
      <xdr:grpSpPr>
        <a:xfrm flipH="1">
          <a:off x="10927299075" y="12694341"/>
          <a:ext cx="2980894" cy="359079"/>
          <a:chOff x="562406" y="12494316"/>
          <a:chExt cx="2866594" cy="359079"/>
        </a:xfrm>
      </xdr:grpSpPr>
      <xdr:sp macro="" textlink="">
        <xdr:nvSpPr>
          <xdr:cNvPr id="98" name="الخطوة" descr="جميع المعلومات حول الدالة VLOOKUP، مرتبط ارتباطاً تشعبياً إلى الويب&#10;&#10;">
            <a:hlinkClick xmlns:r="http://schemas.openxmlformats.org/officeDocument/2006/relationships" r:id="rId2" tooltip="حدد للتعرف على جميع المعلومات حول الدالة VLOOKUP على الويب"/>
            <a:extLst>
              <a:ext uri="{FF2B5EF4-FFF2-40B4-BE49-F238E27FC236}">
                <a16:creationId xmlns:a16="http://schemas.microsoft.com/office/drawing/2014/main" id="{A860ADA4-DD2D-4966-AB6B-7FB24178B7B9}"/>
              </a:ext>
            </a:extLst>
          </xdr:cNvPr>
          <xdr:cNvSpPr txBox="1"/>
        </xdr:nvSpPr>
        <xdr:spPr>
          <a:xfrm flipH="1">
            <a:off x="1027591" y="12568676"/>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VLOOKUP</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الدالة</a:t>
            </a:r>
          </a:p>
        </xdr:txBody>
      </xdr:sp>
      <xdr:pic>
        <xdr:nvPicPr>
          <xdr:cNvPr id="99" name="الرسم 22" descr="سهم">
            <a:hlinkClick xmlns:r="http://schemas.openxmlformats.org/officeDocument/2006/relationships" r:id="rId2" tooltip="حدد للتعرّف على المزيد من الويب"/>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65</xdr:row>
      <xdr:rowOff>126962</xdr:rowOff>
    </xdr:from>
    <xdr:to>
      <xdr:col>1</xdr:col>
      <xdr:colOff>2990850</xdr:colOff>
      <xdr:row>67</xdr:row>
      <xdr:rowOff>110351</xdr:rowOff>
    </xdr:to>
    <xdr:grpSp>
      <xdr:nvGrpSpPr>
        <xdr:cNvPr id="16" name="المجموعة 15">
          <a:extLst>
            <a:ext uri="{FF2B5EF4-FFF2-40B4-BE49-F238E27FC236}">
              <a16:creationId xmlns:a16="http://schemas.microsoft.com/office/drawing/2014/main" id="{79235089-8072-43CC-BE8C-67B41C2F383F}"/>
            </a:ext>
          </a:extLst>
        </xdr:cNvPr>
        <xdr:cNvGrpSpPr/>
      </xdr:nvGrpSpPr>
      <xdr:grpSpPr>
        <a:xfrm flipH="1">
          <a:off x="10926889500" y="13080962"/>
          <a:ext cx="3390469" cy="364389"/>
          <a:chOff x="562406" y="12880937"/>
          <a:chExt cx="3276169" cy="364389"/>
        </a:xfrm>
      </xdr:grpSpPr>
      <xdr:sp macro="" textlink="">
        <xdr:nvSpPr>
          <xdr:cNvPr id="100" name="الخطوة" descr="جميع المعلومات حول الدالتين INDEX/MATCH، مرتبط ارتباطاً تشعبياً إلى الويب&#10;">
            <a:hlinkClick xmlns:r="http://schemas.openxmlformats.org/officeDocument/2006/relationships" r:id="rId5" tooltip="حدد للتعرف على جميع المعلومات حول الدالتين INDEX/MATCH على الويب"/>
            <a:extLst>
              <a:ext uri="{FF2B5EF4-FFF2-40B4-BE49-F238E27FC236}">
                <a16:creationId xmlns:a16="http://schemas.microsoft.com/office/drawing/2014/main" id="{BEC8DAF3-59CC-4665-B2F7-C11D93097B1A}"/>
              </a:ext>
            </a:extLst>
          </xdr:cNvPr>
          <xdr:cNvSpPr txBox="1"/>
        </xdr:nvSpPr>
        <xdr:spPr>
          <a:xfrm flipH="1">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الدالتين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INDEX/MATCH</a:t>
            </a:r>
          </a:p>
        </xdr:txBody>
      </xdr:sp>
      <xdr:pic>
        <xdr:nvPicPr>
          <xdr:cNvPr id="101" name="الرسم 22" descr="سهم">
            <a:hlinkClick xmlns:r="http://schemas.openxmlformats.org/officeDocument/2006/relationships" r:id="rId5" tooltip="حدد للتعرّف على المزيد من الويب"/>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71</xdr:row>
      <xdr:rowOff>174900</xdr:rowOff>
    </xdr:from>
    <xdr:to>
      <xdr:col>1</xdr:col>
      <xdr:colOff>2686050</xdr:colOff>
      <xdr:row>73</xdr:row>
      <xdr:rowOff>158289</xdr:rowOff>
    </xdr:to>
    <xdr:grpSp>
      <xdr:nvGrpSpPr>
        <xdr:cNvPr id="6" name="المجموعة 5">
          <a:extLst>
            <a:ext uri="{FF2B5EF4-FFF2-40B4-BE49-F238E27FC236}">
              <a16:creationId xmlns:a16="http://schemas.microsoft.com/office/drawing/2014/main" id="{5C999AAF-BC52-4D03-84CC-9A10F67B8111}"/>
            </a:ext>
          </a:extLst>
        </xdr:cNvPr>
        <xdr:cNvGrpSpPr/>
      </xdr:nvGrpSpPr>
      <xdr:grpSpPr>
        <a:xfrm flipH="1">
          <a:off x="10927194300" y="14271900"/>
          <a:ext cx="3085669" cy="364389"/>
          <a:chOff x="562406" y="14071875"/>
          <a:chExt cx="2951613" cy="364389"/>
        </a:xfrm>
      </xdr:grpSpPr>
      <xdr:sp macro="" textlink="">
        <xdr:nvSpPr>
          <xdr:cNvPr id="102" name="الخطوة" descr="التدريب المجاني على Excel عبر الإنترنت، مرتبط ارتباطاً تشعبياً إلى الويب&#10;">
            <a:hlinkClick xmlns:r="http://schemas.openxmlformats.org/officeDocument/2006/relationships" r:id="rId6" tooltip="حدد للتعرف على تدريب Excel المجاني من الويب"/>
            <a:extLst>
              <a:ext uri="{FF2B5EF4-FFF2-40B4-BE49-F238E27FC236}">
                <a16:creationId xmlns:a16="http://schemas.microsoft.com/office/drawing/2014/main" id="{4781BFBE-B5EC-40E0-B408-A2571FFF08DE}"/>
              </a:ext>
            </a:extLst>
          </xdr:cNvPr>
          <xdr:cNvSpPr txBox="1"/>
        </xdr:nvSpPr>
        <xdr:spPr>
          <a:xfrm flipH="1">
            <a:off x="1040198" y="14151554"/>
            <a:ext cx="2473821"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103" name="الرسم 22" descr="سهم">
            <a:hlinkClick xmlns:r="http://schemas.openxmlformats.org/officeDocument/2006/relationships" r:id="rId6" tooltip="حدد للتعرّف على المزيد من الويب"/>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67</xdr:row>
      <xdr:rowOff>137893</xdr:rowOff>
    </xdr:from>
    <xdr:to>
      <xdr:col>1</xdr:col>
      <xdr:colOff>2609850</xdr:colOff>
      <xdr:row>69</xdr:row>
      <xdr:rowOff>121282</xdr:rowOff>
    </xdr:to>
    <xdr:grpSp>
      <xdr:nvGrpSpPr>
        <xdr:cNvPr id="8" name="المجموعة 7">
          <a:extLst>
            <a:ext uri="{FF2B5EF4-FFF2-40B4-BE49-F238E27FC236}">
              <a16:creationId xmlns:a16="http://schemas.microsoft.com/office/drawing/2014/main" id="{F2122903-3464-4677-84BC-66087719FF0D}"/>
            </a:ext>
          </a:extLst>
        </xdr:cNvPr>
        <xdr:cNvGrpSpPr/>
      </xdr:nvGrpSpPr>
      <xdr:grpSpPr>
        <a:xfrm flipH="1">
          <a:off x="10927270500" y="13472893"/>
          <a:ext cx="3009469" cy="364389"/>
          <a:chOff x="562406" y="13272868"/>
          <a:chExt cx="2895169" cy="364389"/>
        </a:xfrm>
      </xdr:grpSpPr>
      <xdr:sp macro="" textlink="">
        <xdr:nvSpPr>
          <xdr:cNvPr id="104" name="الخطوة" descr="جميع المعلومات حول الدالة IFERROR، مرتبط ارتباطاً تشعبياً إلى الويب&#10;">
            <a:hlinkClick xmlns:r="http://schemas.openxmlformats.org/officeDocument/2006/relationships" r:id="rId7" tooltip="حدد للتعرف على جميع المعلومات حول الدالة IFERROR على الويب"/>
            <a:extLst>
              <a:ext uri="{FF2B5EF4-FFF2-40B4-BE49-F238E27FC236}">
                <a16:creationId xmlns:a16="http://schemas.microsoft.com/office/drawing/2014/main" id="{FD7D1475-3C3C-4885-B019-D94FC37509D0}"/>
              </a:ext>
            </a:extLst>
          </xdr:cNvPr>
          <xdr:cNvSpPr txBox="1"/>
        </xdr:nvSpPr>
        <xdr:spPr>
          <a:xfrm flipH="1">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a:t>
            </a:r>
            <a:r>
              <a:rPr lang="ar" sz="1100" b="1" u="sng"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IFERROR</a:t>
            </a:r>
            <a:r>
              <a:rPr lang="en-US" sz="1100" b="1" u="sng"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pic>
        <xdr:nvPicPr>
          <xdr:cNvPr id="105" name="الرسم 22" descr="سهم">
            <a:hlinkClick xmlns:r="http://schemas.openxmlformats.org/officeDocument/2006/relationships" r:id="rId7" tooltip="حدد للتعرّف على المزيد من الويب"/>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69</xdr:row>
      <xdr:rowOff>148824</xdr:rowOff>
    </xdr:from>
    <xdr:to>
      <xdr:col>1</xdr:col>
      <xdr:colOff>3190874</xdr:colOff>
      <xdr:row>71</xdr:row>
      <xdr:rowOff>132213</xdr:rowOff>
    </xdr:to>
    <xdr:grpSp>
      <xdr:nvGrpSpPr>
        <xdr:cNvPr id="7" name="المجموعة 6">
          <a:extLst>
            <a:ext uri="{FF2B5EF4-FFF2-40B4-BE49-F238E27FC236}">
              <a16:creationId xmlns:a16="http://schemas.microsoft.com/office/drawing/2014/main" id="{56B2B91D-B542-499E-8788-299E4FFAC823}"/>
            </a:ext>
          </a:extLst>
        </xdr:cNvPr>
        <xdr:cNvGrpSpPr/>
      </xdr:nvGrpSpPr>
      <xdr:grpSpPr>
        <a:xfrm flipH="1">
          <a:off x="10926689476" y="13864824"/>
          <a:ext cx="3590493" cy="364389"/>
          <a:chOff x="562406" y="13664799"/>
          <a:chExt cx="3476193" cy="364389"/>
        </a:xfrm>
      </xdr:grpSpPr>
      <xdr:sp macro="" textlink="">
        <xdr:nvSpPr>
          <xdr:cNvPr id="106" name="الخطوة" descr="استخدام PivotTable لتحليل بيانات ورقة العمل&#10;">
            <a:hlinkClick xmlns:r="http://schemas.openxmlformats.org/officeDocument/2006/relationships" r:id="rId8" tooltip="حدد للتعرف على جميع المعلومات حول إنشاء PivotTable لتحليل بيانات ورقة العمل على الويب"/>
            <a:extLst>
              <a:ext uri="{FF2B5EF4-FFF2-40B4-BE49-F238E27FC236}">
                <a16:creationId xmlns:a16="http://schemas.microsoft.com/office/drawing/2014/main" id="{2E0B811D-CA68-487C-A6BB-4DE6198A877D}"/>
              </a:ext>
            </a:extLst>
          </xdr:cNvPr>
          <xdr:cNvSpPr txBox="1"/>
        </xdr:nvSpPr>
        <xdr:spPr>
          <a:xfrm flipH="1">
            <a:off x="1027590" y="13727608"/>
            <a:ext cx="30110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استخدام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PivotTables</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لتحليل</a:t>
            </a:r>
            <a:r>
              <a:rPr lang="ar" sz="1100" u="sng"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بيانات ورقة العمل</a:t>
            </a:r>
            <a:endPar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pic>
        <xdr:nvPicPr>
          <xdr:cNvPr id="107" name="الرسم 22" descr="سهم">
            <a:hlinkClick xmlns:r="http://schemas.openxmlformats.org/officeDocument/2006/relationships" r:id="rId8" tooltip="حدد للتعرّف على المزيد من الويب"/>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editAs="absolute">
    <xdr:from>
      <xdr:col>0</xdr:col>
      <xdr:colOff>657225</xdr:colOff>
      <xdr:row>27</xdr:row>
      <xdr:rowOff>176188</xdr:rowOff>
    </xdr:from>
    <xdr:to>
      <xdr:col>1</xdr:col>
      <xdr:colOff>2532000</xdr:colOff>
      <xdr:row>30</xdr:row>
      <xdr:rowOff>140375</xdr:rowOff>
    </xdr:to>
    <xdr:sp macro="" textlink="">
      <xdr:nvSpPr>
        <xdr:cNvPr id="116" name="زر_التعمق" descr="انتقل إلى الأسفل لمزيد من التفاصيل">
          <a:hlinkClick xmlns:r="http://schemas.openxmlformats.org/officeDocument/2006/relationships" r:id="rId9"/>
          <a:extLst>
            <a:ext uri="{FF2B5EF4-FFF2-40B4-BE49-F238E27FC236}">
              <a16:creationId xmlns:a16="http://schemas.microsoft.com/office/drawing/2014/main" id="{7EED573E-E4AE-4562-BCEC-B2731DD6AA78}"/>
            </a:ext>
          </a:extLst>
        </xdr:cNvPr>
        <xdr:cNvSpPr/>
      </xdr:nvSpPr>
      <xdr:spPr>
        <a:xfrm flipH="1">
          <a:off x="10927348350" y="5891188"/>
          <a:ext cx="2836800"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انتقل إلى الأسفل لمزيد من التفاصيل</a:t>
          </a:r>
        </a:p>
      </xdr:txBody>
    </xdr:sp>
    <xdr:clientData/>
  </xdr:twoCellAnchor>
  <xdr:twoCellAnchor>
    <xdr:from>
      <xdr:col>0</xdr:col>
      <xdr:colOff>333375</xdr:colOff>
      <xdr:row>31</xdr:row>
      <xdr:rowOff>161897</xdr:rowOff>
    </xdr:from>
    <xdr:to>
      <xdr:col>1</xdr:col>
      <xdr:colOff>5219700</xdr:colOff>
      <xdr:row>59</xdr:row>
      <xdr:rowOff>38072</xdr:rowOff>
    </xdr:to>
    <xdr:grpSp>
      <xdr:nvGrpSpPr>
        <xdr:cNvPr id="117" name="المجموعة 116">
          <a:extLst>
            <a:ext uri="{FF2B5EF4-FFF2-40B4-BE49-F238E27FC236}">
              <a16:creationId xmlns:a16="http://schemas.microsoft.com/office/drawing/2014/main" id="{13E6C982-6CD3-4F56-8160-7A99956655B4}"/>
            </a:ext>
          </a:extLst>
        </xdr:cNvPr>
        <xdr:cNvGrpSpPr/>
      </xdr:nvGrpSpPr>
      <xdr:grpSpPr>
        <a:xfrm flipH="1">
          <a:off x="10924660650" y="6638897"/>
          <a:ext cx="5848350" cy="5210175"/>
          <a:chOff x="381000" y="6619847"/>
          <a:chExt cx="5734050" cy="5210175"/>
        </a:xfrm>
      </xdr:grpSpPr>
      <xdr:sp macro="" textlink="">
        <xdr:nvSpPr>
          <xdr:cNvPr id="118" name="نص_خلفية الجولة" descr="الخلفية">
            <a:extLst>
              <a:ext uri="{FF2B5EF4-FFF2-40B4-BE49-F238E27FC236}">
                <a16:creationId xmlns:a16="http://schemas.microsoft.com/office/drawing/2014/main" id="{D3E3BF3F-62BA-42BD-AAAA-C2798A711BDD}"/>
              </a:ext>
            </a:extLst>
          </xdr:cNvPr>
          <xdr:cNvSpPr/>
        </xdr:nvSpPr>
        <xdr:spPr>
          <a:xfrm flipH="1">
            <a:off x="381000" y="6619847"/>
            <a:ext cx="5734050" cy="52101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19" name="نص_عنوان الجولة" descr="VLOOKUP و#N/A">
            <a:extLst>
              <a:ext uri="{FF2B5EF4-FFF2-40B4-BE49-F238E27FC236}">
                <a16:creationId xmlns:a16="http://schemas.microsoft.com/office/drawing/2014/main" id="{386B07F5-B225-4CBC-99F5-455BC4C0E041}"/>
              </a:ext>
            </a:extLst>
          </xdr:cNvPr>
          <xdr:cNvSpPr txBox="1"/>
        </xdr:nvSpPr>
        <xdr:spPr>
          <a:xfrm flipH="1">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VLOOKUP و#N/A</a:t>
            </a:r>
          </a:p>
        </xdr:txBody>
      </xdr:sp>
      <xdr:cxnSp macro="">
        <xdr:nvCxnSpPr>
          <xdr:cNvPr id="120" name="نص_سطر الجولة 1" descr="سطر مزخرف">
            <a:extLst>
              <a:ext uri="{FF2B5EF4-FFF2-40B4-BE49-F238E27FC236}">
                <a16:creationId xmlns:a16="http://schemas.microsoft.com/office/drawing/2014/main" id="{630863CB-3AD3-41AC-8A46-12E685348E7F}"/>
              </a:ext>
            </a:extLst>
          </xdr:cNvPr>
          <xdr:cNvCxnSpPr>
            <a:cxnSpLocks/>
          </xdr:cNvCxnSpPr>
        </xdr:nvCxnSpPr>
        <xdr:spPr>
          <a:xfrm flipH="1">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نص_سطر الجولة 2" descr="سطر مزخرف">
            <a:extLst>
              <a:ext uri="{FF2B5EF4-FFF2-40B4-BE49-F238E27FC236}">
                <a16:creationId xmlns:a16="http://schemas.microsoft.com/office/drawing/2014/main" id="{9714E556-7850-4148-BEC1-BE99A53AD145}"/>
              </a:ext>
            </a:extLst>
          </xdr:cNvPr>
          <xdr:cNvCxnSpPr>
            <a:cxnSpLocks/>
          </xdr:cNvCxnSpPr>
        </xdr:nvCxnSpPr>
        <xdr:spPr>
          <a:xfrm flipH="1">
            <a:off x="623901" y="11213013"/>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نص_مقدمة الجولة" descr="وبشكل دائم، ستواجه موقف حيث لا تستطيع الدالة VLOOKUP إيجاد ما طلبته، وترجع الخطأ (#N/A). في بعض الأحيان، يكون بسبب عدم وجود قيمة البحث، أو قد يكون نظراً لأن الخلية المرجعية لا تحتوي على قيمة حتى الآن.&#10;&#10;">
            <a:extLst>
              <a:ext uri="{FF2B5EF4-FFF2-40B4-BE49-F238E27FC236}">
                <a16:creationId xmlns:a16="http://schemas.microsoft.com/office/drawing/2014/main" id="{14D15DCB-93AB-4F22-9D6D-FBFB2C3479BE}"/>
              </a:ext>
            </a:extLst>
          </xdr:cNvPr>
          <xdr:cNvSpPr txBox="1"/>
        </xdr:nvSpPr>
        <xdr:spPr>
          <a:xfrm flipH="1">
            <a:off x="619288" y="7320013"/>
            <a:ext cx="5251444" cy="67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وبشكل دائم، ستواجه موقف حيث لا تستطيع الدالة VLOOKUP إيجاد ما طلبته، وترجع الخطأ (</a:t>
            </a:r>
            <a:r>
              <a:rPr lang="ar"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#N/A</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 في بعض الأحيان، يكون بسبب عدم وجود قيمة البحث، أو قد يكون نظراً لأن الخلية المرجعية لا تحتوي على قيمة حتى الآن.</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grpSp>
        <xdr:nvGrpSpPr>
          <xdr:cNvPr id="123" name="مجموعة_الخطوات">
            <a:extLst>
              <a:ext uri="{FF2B5EF4-FFF2-40B4-BE49-F238E27FC236}">
                <a16:creationId xmlns:a16="http://schemas.microsoft.com/office/drawing/2014/main" id="{5965A0D4-2BC5-48D7-B26B-96EE64B5243D}"/>
              </a:ext>
            </a:extLst>
          </xdr:cNvPr>
          <xdr:cNvGrpSpPr/>
        </xdr:nvGrpSpPr>
        <xdr:grpSpPr>
          <a:xfrm>
            <a:off x="619125" y="8020022"/>
            <a:ext cx="5353050" cy="1828828"/>
            <a:chOff x="562285" y="7734300"/>
            <a:chExt cx="5318320" cy="1828828"/>
          </a:xfrm>
        </xdr:grpSpPr>
        <xdr:sp macro="" textlink="">
          <xdr:nvSpPr>
            <xdr:cNvPr id="127" name="نص_ الخطوة" descr="If you know your lookup value exists, but want to hide the error if the lookup cell is blank, you can use an IF statement. In this case, we'll wrap our existing VLOOKUP formula like this in cell D43:&#10;&#10;=IF(C43=&quot;&quot;,&quot;&quot;,VLOOKUP(C43,C37:D41,2,FALSE))&#10;&#10;This says if cell C43 equals nothing (&quot;&quot;), then return nothing, otherwise return the VLOOKUP's results. Note the second closing parenthesis at the end of the formula. This closes the IF statement.&#10;&#10;">
              <a:extLst>
                <a:ext uri="{FF2B5EF4-FFF2-40B4-BE49-F238E27FC236}">
                  <a16:creationId xmlns:a16="http://schemas.microsoft.com/office/drawing/2014/main" id="{EEACBD37-1990-4370-9F66-49CF679806B6}"/>
                </a:ext>
              </a:extLst>
            </xdr:cNvPr>
            <xdr:cNvSpPr txBox="1"/>
          </xdr:nvSpPr>
          <xdr:spPr>
            <a:xfrm flipH="1">
              <a:off x="979442" y="7776258"/>
              <a:ext cx="4901163" cy="17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rPr>
                <a:t>إذا كنت تعرف أن قيمة البحث موجودة، ولكنك تريد إخفاء الخطأ إذا كانت خلايا البحث فارغة، يمكنك استخدام عبارة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rPr>
                <a:t>IF</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rPr>
                <a:t>. في هذه الحالة، سنقوم بالتفاف صيغة VLOOKUP الموجود كما يلي في الخلية D43:</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a:p>
              <a:pPr algn="r" rtl="1"/>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=IF(C43="";"";VLOOKUP(C43;C37:D41;2;FALSE)</a:t>
              </a:r>
              <a:endPar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endParaRPr>
            </a:p>
            <a:p>
              <a:pPr rtl="1"/>
              <a:endPar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rPr>
                <a:t>هذا يشير إلى أنه "إذا كانت الخلية C43 تساوي لا شيء ("")، يتم إرجاع لا شيء، بخلاف ذلك يتم إرجاع نتائج الدالة VLOOKUP". لاحظ أقواس الإغلاق الثانية في نهاية الصيغة. تغلق عبارة IF.</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28" name="شكل_الخطوة" descr="1">
              <a:extLst>
                <a:ext uri="{FF2B5EF4-FFF2-40B4-BE49-F238E27FC236}">
                  <a16:creationId xmlns:a16="http://schemas.microsoft.com/office/drawing/2014/main" id="{FF268881-27CD-4E87-AFEB-AFD303754FA4}"/>
                </a:ext>
              </a:extLst>
            </xdr:cNvPr>
            <xdr:cNvSpPr/>
          </xdr:nvSpPr>
          <xdr:spPr>
            <a:xfrm flipH="1">
              <a:off x="562285" y="77343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grpSp>
        <xdr:nvGrpSpPr>
          <xdr:cNvPr id="124" name="المجموعة 123">
            <a:extLst>
              <a:ext uri="{FF2B5EF4-FFF2-40B4-BE49-F238E27FC236}">
                <a16:creationId xmlns:a16="http://schemas.microsoft.com/office/drawing/2014/main" id="{E6606029-FD51-46CF-AFBE-ED7D2B796703}"/>
              </a:ext>
            </a:extLst>
          </xdr:cNvPr>
          <xdr:cNvGrpSpPr/>
        </xdr:nvGrpSpPr>
        <xdr:grpSpPr>
          <a:xfrm>
            <a:off x="619125" y="9848822"/>
            <a:ext cx="5229624" cy="1266853"/>
            <a:chOff x="11201400" y="3619500"/>
            <a:chExt cx="5229624" cy="1266853"/>
          </a:xfrm>
        </xdr:grpSpPr>
        <xdr:sp macro="" textlink="">
          <xdr:nvSpPr>
            <xdr:cNvPr id="125" name="نص_ الخطوة" descr="إذا لم تكن متأكداً من وجود قيمة البحث ولكنك ما زلت ترغب في التخلص من الخطأ #N/A، فيمكنك استخدام معالجة الأخطاء استدعاء الدالة IFERROR في الخلية G43: =IFERROR(VLOOKUP(F43,F37:G41,2,FALSE),&quot;&quot;). تشير الدالة IFERROR إلى أنه إذا أرجعت الدالة VLOOKUP نتيجة صالحة، اعرض ذلك، وبخلاف ذلك، اعرض لا شيء (&quot;&quot;). ولكن يمكنك استخدام الأرقام (0، 1، 2 وما إلى ذلك) أو نص مثل “الصيغة غير صحيحة”.&#10;&#10;">
              <a:extLst>
                <a:ext uri="{FF2B5EF4-FFF2-40B4-BE49-F238E27FC236}">
                  <a16:creationId xmlns:a16="http://schemas.microsoft.com/office/drawing/2014/main" id="{250F4D35-4886-4A69-B7A9-2E3BC66C4614}"/>
                </a:ext>
              </a:extLst>
            </xdr:cNvPr>
            <xdr:cNvSpPr txBox="1"/>
          </xdr:nvSpPr>
          <xdr:spPr>
            <a:xfrm flipH="1">
              <a:off x="11621281" y="3709083"/>
              <a:ext cx="4809743" cy="1177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إذا لم تكن متأكداً من وجود قيمة البحث، ولكن لا تزال ترغب في منع الخطأ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N/A،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فيمكنك استخدام دالة معالجة الأخطاء التي تسمى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IFERROR</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في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G43</a:t>
              </a:r>
              <a:r>
                <a:rPr lang="ar"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=IFERROR(VLOOKUP(F43;F37:G41;2;FALSE);"")</a:t>
              </a:r>
              <a:r>
                <a:rPr lang="ar-SA"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تشير الدالة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IFERROR</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إلى أنه "إذا أرجعت الدالة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VLOOKUP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نتيجة صالحة، اعرض ذلك، وبخلاف ذلك، اعرض لا شيء ("")". إننا لا نعرض أي شيء هنا ("")، لكن يمكنك أيضاً استخدام أرقام (0, 1، 2، إلخ.)، أو نص، على سبيل المثال، "الصيغة غير صحيحة".</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26" name="شكل_الخطوة" descr="2">
              <a:extLst>
                <a:ext uri="{FF2B5EF4-FFF2-40B4-BE49-F238E27FC236}">
                  <a16:creationId xmlns:a16="http://schemas.microsoft.com/office/drawing/2014/main" id="{5CAEF7F2-CADC-4405-A740-3677A6585269}"/>
                </a:ext>
              </a:extLst>
            </xdr:cNvPr>
            <xdr:cNvSpPr/>
          </xdr:nvSpPr>
          <xdr:spPr>
            <a:xfrm flipH="1">
              <a:off x="11201400" y="36195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grpSp>
    <xdr:clientData/>
  </xdr:twoCellAnchor>
  <xdr:twoCellAnchor editAs="absolute">
    <xdr:from>
      <xdr:col>0</xdr:col>
      <xdr:colOff>609600</xdr:colOff>
      <xdr:row>56</xdr:row>
      <xdr:rowOff>180947</xdr:rowOff>
    </xdr:from>
    <xdr:to>
      <xdr:col>1</xdr:col>
      <xdr:colOff>950775</xdr:colOff>
      <xdr:row>58</xdr:row>
      <xdr:rowOff>135396</xdr:rowOff>
    </xdr:to>
    <xdr:sp macro="" textlink="">
      <xdr:nvSpPr>
        <xdr:cNvPr id="129" name="الزر_السابق" descr="الرجوع إلى الورقة السابقة">
          <a:hlinkClick xmlns:r="http://schemas.openxmlformats.org/officeDocument/2006/relationships" r:id="rId10" tooltip="انقر هنا للعودة إلى الورقة السابقة"/>
          <a:extLst>
            <a:ext uri="{FF2B5EF4-FFF2-40B4-BE49-F238E27FC236}">
              <a16:creationId xmlns:a16="http://schemas.microsoft.com/office/drawing/2014/main" id="{049FDD6C-0419-436A-A64D-A3B2D630D4B4}"/>
            </a:ext>
          </a:extLst>
        </xdr:cNvPr>
        <xdr:cNvSpPr/>
      </xdr:nvSpPr>
      <xdr:spPr>
        <a:xfrm>
          <a:off x="10928929575" y="11420447"/>
          <a:ext cx="130320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clientData fPrintsWithSheet="0"/>
  </xdr:twoCellAnchor>
  <xdr:twoCellAnchor editAs="absolute">
    <xdr:from>
      <xdr:col>1</xdr:col>
      <xdr:colOff>3609975</xdr:colOff>
      <xdr:row>56</xdr:row>
      <xdr:rowOff>180947</xdr:rowOff>
    </xdr:from>
    <xdr:to>
      <xdr:col>1</xdr:col>
      <xdr:colOff>4913175</xdr:colOff>
      <xdr:row>58</xdr:row>
      <xdr:rowOff>135396</xdr:rowOff>
    </xdr:to>
    <xdr:sp macro="" textlink="">
      <xdr:nvSpPr>
        <xdr:cNvPr id="130" name="الزر_التالي" descr="التقدم إلى الورقة التالية">
          <a:hlinkClick xmlns:r="http://schemas.openxmlformats.org/officeDocument/2006/relationships" r:id="rId1" tooltip="انقر هنا للعودة إلى الورقة السابقة"/>
          <a:extLst>
            <a:ext uri="{FF2B5EF4-FFF2-40B4-BE49-F238E27FC236}">
              <a16:creationId xmlns:a16="http://schemas.microsoft.com/office/drawing/2014/main" id="{7E521B5B-4F6E-46CF-9081-B282E69CE49D}"/>
            </a:ext>
          </a:extLst>
        </xdr:cNvPr>
        <xdr:cNvSpPr/>
      </xdr:nvSpPr>
      <xdr:spPr>
        <a:xfrm flipH="1">
          <a:off x="10924967175" y="11420447"/>
          <a:ext cx="130320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fPrintsWithSheet="0"/>
  </xdr:twoCellAnchor>
  <xdr:twoCellAnchor editAs="absolute">
    <xdr:from>
      <xdr:col>3</xdr:col>
      <xdr:colOff>854076</xdr:colOff>
      <xdr:row>43</xdr:row>
      <xdr:rowOff>95257</xdr:rowOff>
    </xdr:from>
    <xdr:to>
      <xdr:col>9</xdr:col>
      <xdr:colOff>57150</xdr:colOff>
      <xdr:row>55</xdr:row>
      <xdr:rowOff>47623</xdr:rowOff>
    </xdr:to>
    <xdr:grpSp>
      <xdr:nvGrpSpPr>
        <xdr:cNvPr id="131" name="تفاصيل مهمة" descr="تفاصيل مهمة&#10;&#10;">
          <a:extLst>
            <a:ext uri="{FF2B5EF4-FFF2-40B4-BE49-F238E27FC236}">
              <a16:creationId xmlns:a16="http://schemas.microsoft.com/office/drawing/2014/main" id="{321AE9BC-CB50-4E20-92DE-ED300BC55383}"/>
            </a:ext>
          </a:extLst>
        </xdr:cNvPr>
        <xdr:cNvGrpSpPr/>
      </xdr:nvGrpSpPr>
      <xdr:grpSpPr>
        <a:xfrm flipH="1">
          <a:off x="10917974100" y="8858257"/>
          <a:ext cx="3736974" cy="2238366"/>
          <a:chOff x="6788150" y="10960177"/>
          <a:chExt cx="3989022" cy="2161914"/>
        </a:xfrm>
      </xdr:grpSpPr>
      <xdr:sp macro="" textlink="">
        <xdr:nvSpPr>
          <xdr:cNvPr id="132" name="إرشاد" descr="IMPORTANT DETAIL&#10;IFERROR is what's known as a blanket error handler, meaning it will suppress any error your formula might throw. This can cause problems if Excel is giving you a notification that your formula has a legitimate error that needs to be fixed.&#10;&#10;A rule of thumb is to not add error handlers to your formulas until you're absolutely certain they work properly.&#10;">
            <a:extLst>
              <a:ext uri="{FF2B5EF4-FFF2-40B4-BE49-F238E27FC236}">
                <a16:creationId xmlns:a16="http://schemas.microsoft.com/office/drawing/2014/main" id="{2A97E2F2-8B10-4CB5-B606-3B7DCC83E9FB}"/>
              </a:ext>
            </a:extLst>
          </xdr:cNvPr>
          <xdr:cNvSpPr txBox="1"/>
        </xdr:nvSpPr>
        <xdr:spPr>
          <a:xfrm flipH="1">
            <a:off x="7073899" y="11363327"/>
            <a:ext cx="3703273" cy="1758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تفاصيل مهمة</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1"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الدالة </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IFERROR وهي ما تعرف كمعالج شامل للأخطاء، مما يعني أنها ستمنع أي خطأ قد يحدث بالصيغة الخاصة بك. هذا قد يسبب مشاكل إذا كان Excel يوفر لك إشعاراً يفيد بأن الصيغة الخاصة بك تحتوي على خطأ مرخص يحتاج للإصلاح.</a:t>
            </a:r>
          </a:p>
          <a:p>
            <a:pPr algn="r" rtl="1" eaLnBrk="1" fontAlgn="auto" latinLnBrk="0" hangingPunct="1"/>
            <a:endPar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القاعدة الأساسية هي عدم إضافة معالجات الأخطاء إلى الصيغ حتى تتأكد تماماً من عملها بشكل صحيح.</a:t>
            </a:r>
            <a:endParaRPr lang="en-US" sz="1100">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133" name="نظارة مكبرة" descr="عدسة تكبير">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134" name="سهم" descr="سهم">
            <a:extLst>
              <a:ext uri="{FF2B5EF4-FFF2-40B4-BE49-F238E27FC236}">
                <a16:creationId xmlns:a16="http://schemas.microsoft.com/office/drawing/2014/main" id="{1531872D-805C-4E14-9E2F-6B51D84DF3B2}"/>
              </a:ext>
            </a:extLst>
          </xdr:cNvPr>
          <xdr:cNvSpPr/>
        </xdr:nvSpPr>
        <xdr:spPr>
          <a:xfrm rot="3874191">
            <a:off x="8066653"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1" anchor="t"/>
          <a:lstStyle/>
          <a:p>
            <a:pPr algn="l" rtl="1"/>
            <a:endParaRPr lang="en-US" sz="1100"/>
          </a:p>
        </xdr:txBody>
      </xdr:sp>
    </xdr:grpSp>
    <xdr:clientData/>
  </xdr:twoCellAnchor>
  <xdr:twoCellAnchor>
    <xdr:from>
      <xdr:col>1</xdr:col>
      <xdr:colOff>19057</xdr:colOff>
      <xdr:row>6</xdr:row>
      <xdr:rowOff>114280</xdr:rowOff>
    </xdr:from>
    <xdr:to>
      <xdr:col>1</xdr:col>
      <xdr:colOff>3829057</xdr:colOff>
      <xdr:row>19</xdr:row>
      <xdr:rowOff>161496</xdr:rowOff>
    </xdr:to>
    <xdr:grpSp>
      <xdr:nvGrpSpPr>
        <xdr:cNvPr id="135" name="مجموعة 134">
          <a:extLst>
            <a:ext uri="{FF2B5EF4-FFF2-40B4-BE49-F238E27FC236}">
              <a16:creationId xmlns:a16="http://schemas.microsoft.com/office/drawing/2014/main" id="{6CD3A2DF-2D37-45A6-9A63-6B14AFC74B8A}"/>
            </a:ext>
          </a:extLst>
        </xdr:cNvPr>
        <xdr:cNvGrpSpPr/>
      </xdr:nvGrpSpPr>
      <xdr:grpSpPr>
        <a:xfrm flipH="1">
          <a:off x="10926051293" y="1828780"/>
          <a:ext cx="3810000" cy="2523716"/>
          <a:chOff x="2862263" y="1476375"/>
          <a:chExt cx="3810000" cy="2523716"/>
        </a:xfrm>
      </xdr:grpSpPr>
      <xdr:sp macro="" textlink="">
        <xdr:nvSpPr>
          <xdr:cNvPr id="136" name="قوس الصيغة السفلي">
            <a:extLst>
              <a:ext uri="{FF2B5EF4-FFF2-40B4-BE49-F238E27FC236}">
                <a16:creationId xmlns:a16="http://schemas.microsoft.com/office/drawing/2014/main" id="{C914B05B-1B48-413D-9651-8935235A015E}"/>
              </a:ext>
            </a:extLst>
          </xdr:cNvPr>
          <xdr:cNvSpPr/>
        </xdr:nvSpPr>
        <xdr:spPr>
          <a:xfrm rot="5400000" flipH="1">
            <a:off x="3216142" y="2570298"/>
            <a:ext cx="497160" cy="8048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137" name="قوس الصيغة السفلي">
            <a:extLst>
              <a:ext uri="{FF2B5EF4-FFF2-40B4-BE49-F238E27FC236}">
                <a16:creationId xmlns:a16="http://schemas.microsoft.com/office/drawing/2014/main" id="{9BCA2C0E-7101-41BF-ADB8-82304B7CF009}"/>
              </a:ext>
            </a:extLst>
          </xdr:cNvPr>
          <xdr:cNvSpPr/>
        </xdr:nvSpPr>
        <xdr:spPr>
          <a:xfrm rot="5400000" flipH="1">
            <a:off x="4243568" y="2700160"/>
            <a:ext cx="497160" cy="5451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138" name="قوس الصيغة العلوي">
            <a:extLst>
              <a:ext uri="{FF2B5EF4-FFF2-40B4-BE49-F238E27FC236}">
                <a16:creationId xmlns:a16="http://schemas.microsoft.com/office/drawing/2014/main" id="{DB0B9C93-8027-4F56-A17E-B56ECC2D8969}"/>
              </a:ext>
            </a:extLst>
          </xdr:cNvPr>
          <xdr:cNvSpPr/>
        </xdr:nvSpPr>
        <xdr:spPr>
          <a:xfrm rot="16200000" flipH="1">
            <a:off x="3811450"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139" name="قوس الصيغة العلوي">
            <a:extLst>
              <a:ext uri="{FF2B5EF4-FFF2-40B4-BE49-F238E27FC236}">
                <a16:creationId xmlns:a16="http://schemas.microsoft.com/office/drawing/2014/main" id="{50351C48-F813-453E-A211-80A7D5397B0D}"/>
              </a:ext>
            </a:extLst>
          </xdr:cNvPr>
          <xdr:cNvSpPr/>
        </xdr:nvSpPr>
        <xdr:spPr>
          <a:xfrm rot="16200000" flipH="1">
            <a:off x="4857926"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140" name="نص_الصيغة" descr="=VLOOKUP(A1,B:C,2,FALSE)&#10;">
            <a:extLst>
              <a:ext uri="{FF2B5EF4-FFF2-40B4-BE49-F238E27FC236}">
                <a16:creationId xmlns:a16="http://schemas.microsoft.com/office/drawing/2014/main" id="{786BBFD9-F72E-4EA3-96E4-7C14F0A569CB}"/>
              </a:ext>
            </a:extLst>
          </xdr:cNvPr>
          <xdr:cNvSpPr txBox="1"/>
        </xdr:nvSpPr>
        <xdr:spPr>
          <a:xfrm flipH="1">
            <a:off x="2943225" y="2476500"/>
            <a:ext cx="3729038" cy="314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1" anchor="t"/>
          <a:lstStyle/>
          <a:p>
            <a:pPr marL="0" marR="0" rtl="1">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=VLOOKUP(A1,B:C,2,FALSE)</a:t>
            </a:r>
            <a:endParaRPr lang="en-US" sz="2000">
              <a:effectLst/>
              <a:latin typeface="Courier New" panose="02070309020205020404" pitchFamily="49" charset="0"/>
              <a:ea typeface="Times New Roman" panose="02020603050405020304" pitchFamily="18" charset="0"/>
              <a:cs typeface="Courier New" panose="02070309020205020404" pitchFamily="49" charset="0"/>
            </a:endParaRPr>
          </a:p>
        </xdr:txBody>
      </xdr:sp>
      <xdr:sp macro="" textlink="">
        <xdr:nvSpPr>
          <xdr:cNvPr id="141" name="نص_ وسيلة شرح الصيغة العلوية" descr="ما الذي تريد البحث عنه؟&#10;&#10;">
            <a:extLst>
              <a:ext uri="{FF2B5EF4-FFF2-40B4-BE49-F238E27FC236}">
                <a16:creationId xmlns:a16="http://schemas.microsoft.com/office/drawing/2014/main" id="{6F5BDB75-1135-403E-AEFC-247F7625DDEB}"/>
              </a:ext>
            </a:extLst>
          </xdr:cNvPr>
          <xdr:cNvSpPr txBox="1">
            <a:spLocks noChangeArrowheads="1"/>
          </xdr:cNvSpPr>
        </xdr:nvSpPr>
        <xdr:spPr bwMode="auto">
          <a:xfrm flipH="1">
            <a:off x="4676775" y="1476375"/>
            <a:ext cx="928688"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ما الذي تريد البحث عنه؟</a:t>
            </a:r>
          </a:p>
        </xdr:txBody>
      </xdr:sp>
      <xdr:sp macro="" textlink="">
        <xdr:nvSpPr>
          <xdr:cNvPr id="142" name="نص_ وسيلة شرح الصيغة العلوية" descr="إذا عثرت عليه، كم عمود على الجانب الأيسر تريد الحصول على القيمة فيه؟&#10;">
            <a:extLst>
              <a:ext uri="{FF2B5EF4-FFF2-40B4-BE49-F238E27FC236}">
                <a16:creationId xmlns:a16="http://schemas.microsoft.com/office/drawing/2014/main" id="{18D133B9-5AB0-40F3-B62C-4B60B0FDC556}"/>
              </a:ext>
            </a:extLst>
          </xdr:cNvPr>
          <xdr:cNvSpPr txBox="1">
            <a:spLocks noChangeArrowheads="1"/>
          </xdr:cNvSpPr>
        </xdr:nvSpPr>
        <xdr:spPr bwMode="auto">
          <a:xfrm flipH="1">
            <a:off x="2862263" y="1476375"/>
            <a:ext cx="1643062"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إذا عثرت عليه، كم عمود على الجانب الأيسر تريد الحصول على القيمة فيه؟</a:t>
            </a:r>
          </a:p>
        </xdr:txBody>
      </xdr:sp>
      <xdr:sp macro="" textlink="">
        <xdr:nvSpPr>
          <xdr:cNvPr id="143" name="نص_وسيلة شرح الصيغة السفلية" descr="أين تريد البحث عنه؟&#10;">
            <a:extLst>
              <a:ext uri="{FF2B5EF4-FFF2-40B4-BE49-F238E27FC236}">
                <a16:creationId xmlns:a16="http://schemas.microsoft.com/office/drawing/2014/main" id="{7A0BF5A2-0462-4CFA-A98B-D5D3A7DC336D}"/>
              </a:ext>
            </a:extLst>
          </xdr:cNvPr>
          <xdr:cNvSpPr txBox="1">
            <a:spLocks noChangeArrowheads="1"/>
          </xdr:cNvSpPr>
        </xdr:nvSpPr>
        <xdr:spPr bwMode="auto">
          <a:xfrm flipH="1">
            <a:off x="4010025" y="3105150"/>
            <a:ext cx="960438" cy="894941"/>
          </a:xfrm>
          <a:prstGeom prst="rect">
            <a:avLst/>
          </a:prstGeom>
          <a:solidFill>
            <a:srgbClr val="E2F0D9"/>
          </a:solidFill>
          <a:ln w="9525">
            <a:noFill/>
            <a:miter lim="800000"/>
            <a:headEnd/>
            <a:tailEnd/>
          </a:ln>
        </xdr:spPr>
        <xdr:txBody>
          <a:bodyPr rot="0" vert="horz" wrap="square" lIns="91440" tIns="45720" rIns="91440" bIns="45720" rtlCol="1" anchor="t" anchorCtr="0">
            <a:noAutofit/>
          </a:bodyPr>
          <a:lstStyle/>
          <a:p>
            <a:pPr marL="0" marR="0" indent="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أين تريد البحث عنه؟</a:t>
            </a:r>
          </a:p>
        </xdr:txBody>
      </xdr:sp>
      <xdr:sp macro="" textlink="">
        <xdr:nvSpPr>
          <xdr:cNvPr id="144" name="نص_وسيلة شرح الصيغة السفلية" descr="هل تريد الحصول على تطابق تام أم تقريبي؟&#10;">
            <a:extLst>
              <a:ext uri="{FF2B5EF4-FFF2-40B4-BE49-F238E27FC236}">
                <a16:creationId xmlns:a16="http://schemas.microsoft.com/office/drawing/2014/main" id="{B53691DA-0A76-4040-8DEE-B27DBF05FE8C}"/>
              </a:ext>
            </a:extLst>
          </xdr:cNvPr>
          <xdr:cNvSpPr txBox="1">
            <a:spLocks noChangeArrowheads="1"/>
          </xdr:cNvSpPr>
        </xdr:nvSpPr>
        <xdr:spPr bwMode="auto">
          <a:xfrm flipH="1">
            <a:off x="2957513" y="3105150"/>
            <a:ext cx="960438" cy="894941"/>
          </a:xfrm>
          <a:prstGeom prst="rect">
            <a:avLst/>
          </a:prstGeom>
          <a:solidFill>
            <a:srgbClr val="E2F0D9"/>
          </a:solidFill>
          <a:ln w="9525">
            <a:noFill/>
            <a:miter lim="800000"/>
            <a:headEnd/>
            <a:tailEnd/>
          </a:ln>
        </xdr:spPr>
        <xdr:txBody>
          <a:bodyPr rot="0" vert="horz" wrap="square" lIns="91440" tIns="45720" rIns="91440" bIns="45720" rtlCol="1" anchor="t" anchorCtr="0">
            <a:noAutofit/>
          </a:bodyPr>
          <a:lstStyle/>
          <a:p>
            <a:pPr marL="0" marR="0" indent="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هل تريد الحصول على تطابق تام أم تقريبي؟</a:t>
            </a:r>
          </a:p>
        </xdr:txBody>
      </xdr:sp>
    </xdr:grpSp>
    <xdr:clientData/>
  </xdr:twoCellAnchor>
  <xdr:twoCellAnchor>
    <xdr:from>
      <xdr:col>2</xdr:col>
      <xdr:colOff>954009</xdr:colOff>
      <xdr:row>22</xdr:row>
      <xdr:rowOff>66674</xdr:rowOff>
    </xdr:from>
    <xdr:to>
      <xdr:col>8</xdr:col>
      <xdr:colOff>536063</xdr:colOff>
      <xdr:row>28</xdr:row>
      <xdr:rowOff>146779</xdr:rowOff>
    </xdr:to>
    <xdr:grpSp>
      <xdr:nvGrpSpPr>
        <xdr:cNvPr id="4" name="المجموعة 3">
          <a:extLst>
            <a:ext uri="{FF2B5EF4-FFF2-40B4-BE49-F238E27FC236}">
              <a16:creationId xmlns:a16="http://schemas.microsoft.com/office/drawing/2014/main" id="{089FFE6E-D9A5-469F-8731-5F616E56C80F}"/>
            </a:ext>
          </a:extLst>
        </xdr:cNvPr>
        <xdr:cNvGrpSpPr/>
      </xdr:nvGrpSpPr>
      <xdr:grpSpPr>
        <a:xfrm flipH="1">
          <a:off x="10918161937" y="4829174"/>
          <a:ext cx="4458854" cy="1223105"/>
          <a:chOff x="7726284" y="4829174"/>
          <a:chExt cx="4158817" cy="1223105"/>
        </a:xfrm>
      </xdr:grpSpPr>
      <xdr:grpSp>
        <xdr:nvGrpSpPr>
          <xdr:cNvPr id="108" name="المجموعة 107">
            <a:extLst>
              <a:ext uri="{FF2B5EF4-FFF2-40B4-BE49-F238E27FC236}">
                <a16:creationId xmlns:a16="http://schemas.microsoft.com/office/drawing/2014/main" id="{03EFBC7C-34AE-450B-A955-411C63A44A84}"/>
              </a:ext>
            </a:extLst>
          </xdr:cNvPr>
          <xdr:cNvGrpSpPr/>
        </xdr:nvGrpSpPr>
        <xdr:grpSpPr>
          <a:xfrm>
            <a:off x="7726284" y="5104177"/>
            <a:ext cx="4158817" cy="948102"/>
            <a:chOff x="6370551" y="2394314"/>
            <a:chExt cx="3243106" cy="948102"/>
          </a:xfrm>
        </xdr:grpSpPr>
        <xdr:sp macro="" textlink="">
          <xdr:nvSpPr>
            <xdr:cNvPr id="109" name="الخطوة" descr="EXPERIMENT&#10;Try selecting different items from the drop down lists. You'll see the result cells instantly update themselves with new values.&#10;">
              <a:extLst>
                <a:ext uri="{FF2B5EF4-FFF2-40B4-BE49-F238E27FC236}">
                  <a16:creationId xmlns:a16="http://schemas.microsoft.com/office/drawing/2014/main" id="{F058B804-367A-4D12-BA59-0970AFE733A6}"/>
                </a:ext>
              </a:extLst>
            </xdr:cNvPr>
            <xdr:cNvSpPr txBox="1"/>
          </xdr:nvSpPr>
          <xdr:spPr>
            <a:xfrm flipH="1">
              <a:off x="6570375" y="2394314"/>
              <a:ext cx="3043282"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تجربة</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lvl="0" algn="r" rtl="1">
                <a:defRPr/>
              </a:pPr>
              <a:r>
                <a:rPr lang="ar" sz="1100" kern="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t>حاول تحديد</a:t>
              </a:r>
              <a:r>
                <a:rPr lang="ar" sz="1100" kern="0" baseline="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t> عناصر مختلفة من القوائم المنسدلة. ستتمكن من رؤية خلايا النتائج فوراً تحدث أنفسها بالقيم الجديدة.</a:t>
              </a:r>
              <a:endParaRPr lang="en-US" sz="1100" kern="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111" name="رسم 96" descr="قنينة">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H="1">
              <a:off x="6370551" y="2499089"/>
              <a:ext cx="331088" cy="368300"/>
            </a:xfrm>
            <a:prstGeom prst="rect">
              <a:avLst/>
            </a:prstGeom>
          </xdr:spPr>
        </xdr:pic>
      </xdr:grpSp>
      <xdr:sp macro="" textlink="">
        <xdr:nvSpPr>
          <xdr:cNvPr id="71" name="قوس الصيغة السفلي">
            <a:extLst>
              <a:ext uri="{FF2B5EF4-FFF2-40B4-BE49-F238E27FC236}">
                <a16:creationId xmlns:a16="http://schemas.microsoft.com/office/drawing/2014/main" id="{7B63C257-0957-4E3A-BE00-93BDA82D9D53}"/>
              </a:ext>
            </a:extLst>
          </xdr:cNvPr>
          <xdr:cNvSpPr/>
        </xdr:nvSpPr>
        <xdr:spPr>
          <a:xfrm rot="5400000" flipH="1">
            <a:off x="8139115" y="4491036"/>
            <a:ext cx="219076" cy="895352"/>
          </a:xfrm>
          <a:prstGeom prst="leftBrace">
            <a:avLst/>
          </a:prstGeom>
          <a:ln w="1270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الخطوة" descr="اكتب =SUM(D4:D7)ن ثم اضغط على الزر enter. عند الانتهاء، سترى النتيجة من 170">
          <a:extLst>
            <a:ext uri="{FF2B5EF4-FFF2-40B4-BE49-F238E27FC236}">
              <a16:creationId xmlns:a16="http://schemas.microsoft.com/office/drawing/2014/main" id="{8F26A0BE-2507-40C1-88A3-4D85E7F8E095}"/>
            </a:ext>
          </a:extLst>
        </xdr:cNvPr>
        <xdr:cNvSpPr txBox="1"/>
      </xdr:nvSpPr>
      <xdr:spPr>
        <a:xfrm flipH="1">
          <a:off x="13614553" y="181737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3</xdr:col>
      <xdr:colOff>288285</xdr:colOff>
      <xdr:row>123</xdr:row>
      <xdr:rowOff>123824</xdr:rowOff>
    </xdr:from>
    <xdr:to>
      <xdr:col>8</xdr:col>
      <xdr:colOff>533400</xdr:colOff>
      <xdr:row>133</xdr:row>
      <xdr:rowOff>49083</xdr:rowOff>
    </xdr:to>
    <xdr:grpSp>
      <xdr:nvGrpSpPr>
        <xdr:cNvPr id="88" name="من الرائع معرفة أنه"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22FED87C-334E-45C5-A4CC-FBD0B802BEDC}"/>
            </a:ext>
          </a:extLst>
        </xdr:cNvPr>
        <xdr:cNvGrpSpPr/>
      </xdr:nvGrpSpPr>
      <xdr:grpSpPr>
        <a:xfrm flipH="1">
          <a:off x="10912163850" y="23479124"/>
          <a:ext cx="4731390" cy="1744534"/>
          <a:chOff x="5505526" y="15533953"/>
          <a:chExt cx="4705274" cy="1757097"/>
        </a:xfrm>
      </xdr:grpSpPr>
      <xdr:sp macro="" textlink="">
        <xdr:nvSpPr>
          <xdr:cNvPr id="92" name="الخطوة"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80FDEA48-605A-47F3-959F-C6A1DA9817BC}"/>
              </a:ext>
            </a:extLst>
          </xdr:cNvPr>
          <xdr:cNvSpPr txBox="1"/>
        </xdr:nvSpPr>
        <xdr:spPr>
          <a:xfrm flipH="1">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من الرائع معرفة أنه</a:t>
            </a:r>
            <a:endParaRPr lang="en-US" sz="1200" b="1">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انقر نقراً مزدوجاً فوق هذه الخلية وسترى أن الصيغة مختلفة. بشكل خاص، يكون معيار المجموع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50</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&gt;</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مما يعني أكبر من أو يساوي 50. هناك عوامل أخرى يمكنك استخدامها مثل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50</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&lt;</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أصغر من أو تساوي </a:t>
            </a:r>
            <a:r>
              <a:rPr lang="ar" sz="1100" b="0" i="1"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50</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وتوجد "</a:t>
            </a:r>
            <a:r>
              <a:rPr lang="en-US"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&lt;&gt;50</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وهي </a:t>
            </a:r>
            <a:r>
              <a:rPr lang="ar" sz="1100" b="0" i="1"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لا تساوي 50</a:t>
            </a:r>
            <a:r>
              <a:rPr lang="ar" sz="1100" b="0" i="0" kern="1200"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a:t>
            </a:r>
            <a:endParaRPr lang="en-US" sz="1100">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93" name="الرسم 147" descr="نظارات">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flipH="1">
            <a:off x="6778625" y="15665450"/>
            <a:ext cx="323347" cy="349115"/>
          </a:xfrm>
          <a:prstGeom prst="rect">
            <a:avLst/>
          </a:prstGeom>
        </xdr:spPr>
      </xdr:pic>
      <xdr:sp macro="" textlink="">
        <xdr:nvSpPr>
          <xdr:cNvPr id="94" name="شكل حر: الشكل 93" descr="سهم">
            <a:extLst>
              <a:ext uri="{FF2B5EF4-FFF2-40B4-BE49-F238E27FC236}">
                <a16:creationId xmlns:a16="http://schemas.microsoft.com/office/drawing/2014/main" id="{15104F1B-103C-46F0-AEAD-84159160100C}"/>
              </a:ext>
            </a:extLst>
          </xdr:cNvPr>
          <xdr:cNvSpPr/>
        </xdr:nvSpPr>
        <xdr:spPr>
          <a:xfrm rot="15646966" flipH="1" flipV="1">
            <a:off x="5965827" y="15073652"/>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editAs="absolute">
    <xdr:from>
      <xdr:col>0</xdr:col>
      <xdr:colOff>352427</xdr:colOff>
      <xdr:row>131</xdr:row>
      <xdr:rowOff>28576</xdr:rowOff>
    </xdr:from>
    <xdr:to>
      <xdr:col>1</xdr:col>
      <xdr:colOff>5238751</xdr:colOff>
      <xdr:row>151</xdr:row>
      <xdr:rowOff>141741</xdr:rowOff>
    </xdr:to>
    <xdr:grpSp>
      <xdr:nvGrpSpPr>
        <xdr:cNvPr id="2" name="المجموعة 1">
          <a:extLst>
            <a:ext uri="{FF2B5EF4-FFF2-40B4-BE49-F238E27FC236}">
              <a16:creationId xmlns:a16="http://schemas.microsoft.com/office/drawing/2014/main" id="{F31110CC-1652-426F-8A11-3D24DC9CD3D1}"/>
            </a:ext>
          </a:extLst>
        </xdr:cNvPr>
        <xdr:cNvGrpSpPr/>
      </xdr:nvGrpSpPr>
      <xdr:grpSpPr>
        <a:xfrm flipH="1">
          <a:off x="10919212349" y="24841201"/>
          <a:ext cx="5848349" cy="3732665"/>
          <a:chOff x="447674" y="25631776"/>
          <a:chExt cx="5724525" cy="3762374"/>
        </a:xfrm>
      </xdr:grpSpPr>
      <xdr:sp macro="" textlink="">
        <xdr:nvSpPr>
          <xdr:cNvPr id="152" name="مستطيل 151">
            <a:extLst>
              <a:ext uri="{FF2B5EF4-FFF2-40B4-BE49-F238E27FC236}">
                <a16:creationId xmlns:a16="http://schemas.microsoft.com/office/drawing/2014/main" id="{54D87238-E746-4C47-ABBA-E10A64262FCE}"/>
              </a:ext>
            </a:extLst>
          </xdr:cNvPr>
          <xdr:cNvSpPr/>
        </xdr:nvSpPr>
        <xdr:spPr>
          <a:xfrm flipH="1">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155" name="الخطوة" descr="المزيد من المعلومات على الويب&#10;">
            <a:extLst>
              <a:ext uri="{FF2B5EF4-FFF2-40B4-BE49-F238E27FC236}">
                <a16:creationId xmlns:a16="http://schemas.microsoft.com/office/drawing/2014/main" id="{E4E79A32-97A9-47B0-87C7-3090F1C4978F}"/>
              </a:ext>
            </a:extLst>
          </xdr:cNvPr>
          <xdr:cNvSpPr txBox="1"/>
        </xdr:nvSpPr>
        <xdr:spPr>
          <a:xfrm flipH="1">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158" name="موصل مستقيم 157" descr="سطر مزخرف">
            <a:extLst>
              <a:ext uri="{FF2B5EF4-FFF2-40B4-BE49-F238E27FC236}">
                <a16:creationId xmlns:a16="http://schemas.microsoft.com/office/drawing/2014/main" id="{C1DC7374-254A-47B0-91EF-5014A7B4001F}"/>
              </a:ext>
            </a:extLst>
          </xdr:cNvPr>
          <xdr:cNvCxnSpPr>
            <a:cxnSpLocks/>
          </xdr:cNvCxnSpPr>
        </xdr:nvCxnSpPr>
        <xdr:spPr>
          <a:xfrm flipH="1">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موصل مستقيم 163" descr="سطر مزخرف">
            <a:extLst>
              <a:ext uri="{FF2B5EF4-FFF2-40B4-BE49-F238E27FC236}">
                <a16:creationId xmlns:a16="http://schemas.microsoft.com/office/drawing/2014/main" id="{86A13197-B0BB-44E6-87AB-432D5098D000}"/>
              </a:ext>
            </a:extLst>
          </xdr:cNvPr>
          <xdr:cNvCxnSpPr>
            <a:cxnSpLocks/>
          </xdr:cNvCxnSpPr>
        </xdr:nvCxnSpPr>
        <xdr:spPr>
          <a:xfrm flipH="1">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379800</xdr:colOff>
      <xdr:row>0</xdr:row>
      <xdr:rowOff>352425</xdr:rowOff>
    </xdr:from>
    <xdr:to>
      <xdr:col>1</xdr:col>
      <xdr:colOff>5210175</xdr:colOff>
      <xdr:row>45</xdr:row>
      <xdr:rowOff>0</xdr:rowOff>
    </xdr:to>
    <xdr:sp macro="" textlink="">
      <xdr:nvSpPr>
        <xdr:cNvPr id="168" name="الخلفية" descr="الخلفية">
          <a:extLst>
            <a:ext uri="{FF2B5EF4-FFF2-40B4-BE49-F238E27FC236}">
              <a16:creationId xmlns:a16="http://schemas.microsoft.com/office/drawing/2014/main" id="{E6C939DA-20FC-4617-9AC0-0E0FD53C0BBC}"/>
            </a:ext>
          </a:extLst>
        </xdr:cNvPr>
        <xdr:cNvSpPr/>
      </xdr:nvSpPr>
      <xdr:spPr>
        <a:xfrm flipH="1">
          <a:off x="10919240925" y="352425"/>
          <a:ext cx="5792400" cy="8696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5010150</xdr:colOff>
      <xdr:row>2</xdr:row>
      <xdr:rowOff>66675</xdr:rowOff>
    </xdr:to>
    <xdr:cxnSp macro="">
      <xdr:nvCxnSpPr>
        <xdr:cNvPr id="169" name="سطر سفلي" descr="سطر مزخرف">
          <a:extLst>
            <a:ext uri="{FF2B5EF4-FFF2-40B4-BE49-F238E27FC236}">
              <a16:creationId xmlns:a16="http://schemas.microsoft.com/office/drawing/2014/main" id="{A5862B64-F553-4E4F-B5B8-0DE209AA7E25}"/>
            </a:ext>
          </a:extLst>
        </xdr:cNvPr>
        <xdr:cNvCxnSpPr>
          <a:cxnSpLocks/>
        </xdr:cNvCxnSpPr>
      </xdr:nvCxnSpPr>
      <xdr:spPr>
        <a:xfrm flipH="1">
          <a:off x="10919440950" y="1019175"/>
          <a:ext cx="5424474"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4705350</xdr:colOff>
      <xdr:row>1</xdr:row>
      <xdr:rowOff>171517</xdr:rowOff>
    </xdr:to>
    <xdr:sp macro="" textlink="">
      <xdr:nvSpPr>
        <xdr:cNvPr id="170" name="الخطوة" descr="الدالات الشرطية - SUMIF&#10;">
          <a:extLst>
            <a:ext uri="{FF2B5EF4-FFF2-40B4-BE49-F238E27FC236}">
              <a16:creationId xmlns:a16="http://schemas.microsoft.com/office/drawing/2014/main" id="{317D1451-8BD0-4C45-8A01-4F1AD711CF9A}"/>
            </a:ext>
          </a:extLst>
        </xdr:cNvPr>
        <xdr:cNvSpPr txBox="1"/>
      </xdr:nvSpPr>
      <xdr:spPr>
        <a:xfrm flipH="1">
          <a:off x="10919745750" y="447675"/>
          <a:ext cx="511967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الدالات الشرطية - SUMIF</a:t>
          </a:r>
        </a:p>
      </xdr:txBody>
    </xdr:sp>
    <xdr:clientData/>
  </xdr:twoCellAnchor>
  <xdr:twoCellAnchor editAs="absolute">
    <xdr:from>
      <xdr:col>0</xdr:col>
      <xdr:colOff>547701</xdr:colOff>
      <xdr:row>40</xdr:row>
      <xdr:rowOff>173567</xdr:rowOff>
    </xdr:from>
    <xdr:to>
      <xdr:col>1</xdr:col>
      <xdr:colOff>4972050</xdr:colOff>
      <xdr:row>40</xdr:row>
      <xdr:rowOff>173567</xdr:rowOff>
    </xdr:to>
    <xdr:cxnSp macro="">
      <xdr:nvCxnSpPr>
        <xdr:cNvPr id="171" name="سطر سفلي" descr="سطر مزخرف">
          <a:extLst>
            <a:ext uri="{FF2B5EF4-FFF2-40B4-BE49-F238E27FC236}">
              <a16:creationId xmlns:a16="http://schemas.microsoft.com/office/drawing/2014/main" id="{CDE7F952-1938-4D52-9DF8-081F00B24DBB}"/>
            </a:ext>
          </a:extLst>
        </xdr:cNvPr>
        <xdr:cNvCxnSpPr>
          <a:cxnSpLocks/>
        </xdr:cNvCxnSpPr>
      </xdr:nvCxnSpPr>
      <xdr:spPr>
        <a:xfrm flipH="1">
          <a:off x="10919479050" y="8317442"/>
          <a:ext cx="5386374"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4943475</xdr:colOff>
      <xdr:row>6</xdr:row>
      <xdr:rowOff>19050</xdr:rowOff>
    </xdr:to>
    <xdr:sp macro="" textlink="">
      <xdr:nvSpPr>
        <xdr:cNvPr id="172" name="إضافة مقدمة الأرقام" descr="تسمح لك الدوال الشرطية بجمع أو معرفة المتوسط أو عد أو الحصول على الحد الأدى والأقصى لنطاق استناداً إلى شرط أو معيار معين تحدده. مثل، من بين كل الفاكهة الموجودة في القائمة، كم عدد ثمرات التفاح. أو كم عدد ثمرات البرتقال من النوع فلوريدا؟&#10;">
          <a:extLst>
            <a:ext uri="{FF2B5EF4-FFF2-40B4-BE49-F238E27FC236}">
              <a16:creationId xmlns:a16="http://schemas.microsoft.com/office/drawing/2014/main" id="{9A24D79D-F087-4F19-ACAE-4CAC391FF978}"/>
            </a:ext>
          </a:extLst>
        </xdr:cNvPr>
        <xdr:cNvSpPr txBox="1"/>
      </xdr:nvSpPr>
      <xdr:spPr>
        <a:xfrm flipH="1">
          <a:off x="10919507625" y="1009650"/>
          <a:ext cx="533400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kern="1200">
              <a:solidFill>
                <a:schemeClr val="tx1">
                  <a:lumMod val="75000"/>
                  <a:lumOff val="25000"/>
                </a:schemeClr>
              </a:solidFill>
              <a:latin typeface="Tahoma" panose="020B0604030504040204" pitchFamily="34" charset="0"/>
              <a:ea typeface="+mn-ea"/>
              <a:cs typeface="Tahoma" panose="020B0604030504040204" pitchFamily="34" charset="0"/>
            </a:rPr>
            <a:t>الدالات الشرطية تتيح لك جمع النطاق أو حساب متوسطه أو عده أو الحصول على الحد الأدنى والحد الأقصى له استناداً إلى شرط معين، أو معايير قمت بتحديدها. على سبيل</a:t>
          </a:r>
          <a:r>
            <a:rPr lang="ar" sz="1100" kern="1200" baseline="0">
              <a:solidFill>
                <a:schemeClr val="tx1">
                  <a:lumMod val="75000"/>
                  <a:lumOff val="25000"/>
                </a:schemeClr>
              </a:solidFill>
              <a:latin typeface="Tahoma" panose="020B0604030504040204" pitchFamily="34" charset="0"/>
              <a:ea typeface="+mn-ea"/>
              <a:cs typeface="Tahoma" panose="020B0604030504040204" pitchFamily="34" charset="0"/>
            </a:rPr>
            <a:t> المثال، من جميع الفواكه الموجودة في القائمة، كم عدد التفاح؟ أو، كم عدد البرتقال من النوع فلوريدا؟</a:t>
          </a: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editAs="absolute">
    <xdr:from>
      <xdr:col>0</xdr:col>
      <xdr:colOff>523789</xdr:colOff>
      <xdr:row>6</xdr:row>
      <xdr:rowOff>57150</xdr:rowOff>
    </xdr:from>
    <xdr:to>
      <xdr:col>1</xdr:col>
      <xdr:colOff>4895850</xdr:colOff>
      <xdr:row>9</xdr:row>
      <xdr:rowOff>152400</xdr:rowOff>
    </xdr:to>
    <xdr:grpSp>
      <xdr:nvGrpSpPr>
        <xdr:cNvPr id="5" name="المجموعة 4">
          <a:extLst>
            <a:ext uri="{FF2B5EF4-FFF2-40B4-BE49-F238E27FC236}">
              <a16:creationId xmlns:a16="http://schemas.microsoft.com/office/drawing/2014/main" id="{8A59968F-9E53-4DA4-A0EC-0D567AB08F0D}"/>
            </a:ext>
          </a:extLst>
        </xdr:cNvPr>
        <xdr:cNvGrpSpPr/>
      </xdr:nvGrpSpPr>
      <xdr:grpSpPr>
        <a:xfrm flipH="1">
          <a:off x="10919555250" y="1771650"/>
          <a:ext cx="5334086" cy="666750"/>
          <a:chOff x="571500" y="1771650"/>
          <a:chExt cx="5229626" cy="666750"/>
        </a:xfrm>
      </xdr:grpSpPr>
      <xdr:sp macro="" textlink="">
        <xdr:nvSpPr>
          <xdr:cNvPr id="174" name="نص_ الخطوة" descr="تتيح لك SUMIF التجميع في نطاق واحد استناداً إلى معايير معينة تبحث عنها في نطاق آخر، مثل عدد التفاح الذي لديك. حدد الخلية D17 واكتب =SUMIF(C3:C14,C17,D3:D14). يتم بناء SUMIF هكذا:&#10;">
            <a:extLst>
              <a:ext uri="{FF2B5EF4-FFF2-40B4-BE49-F238E27FC236}">
                <a16:creationId xmlns:a16="http://schemas.microsoft.com/office/drawing/2014/main" id="{2D2520E8-CC78-428A-A2A1-03FB76DC9AF2}"/>
              </a:ext>
            </a:extLst>
          </xdr:cNvPr>
          <xdr:cNvSpPr txBox="1"/>
        </xdr:nvSpPr>
        <xdr:spPr>
          <a:xfrm flipH="1">
            <a:off x="991382" y="1813608"/>
            <a:ext cx="4809744" cy="6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تتيح لك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SUMIF</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التجميع في نطاق واحد استناداً إلى معايير معينة تبحث عنها في نطاق آخر، مثل عدد التفاح الذي لديك. حدد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D17</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واكتب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=SUMIF(C3:C14;C17;D3:D14)</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تتم هيكلة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SUMIF</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كما يلي:</a:t>
            </a:r>
          </a:p>
        </xdr:txBody>
      </xdr:sp>
      <xdr:sp macro="" textlink="">
        <xdr:nvSpPr>
          <xdr:cNvPr id="175" name="شكل_الخطوة" descr="1">
            <a:extLst>
              <a:ext uri="{FF2B5EF4-FFF2-40B4-BE49-F238E27FC236}">
                <a16:creationId xmlns:a16="http://schemas.microsoft.com/office/drawing/2014/main" id="{DDA35D30-C9B0-4579-BCA5-F2ECE76A935E}"/>
              </a:ext>
            </a:extLst>
          </xdr:cNvPr>
          <xdr:cNvSpPr/>
        </xdr:nvSpPr>
        <xdr:spPr>
          <a:xfrm flipH="1">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clientData/>
  </xdr:twoCellAnchor>
  <xdr:twoCellAnchor editAs="absolute">
    <xdr:from>
      <xdr:col>1</xdr:col>
      <xdr:colOff>3590925</xdr:colOff>
      <xdr:row>41</xdr:row>
      <xdr:rowOff>125941</xdr:rowOff>
    </xdr:from>
    <xdr:to>
      <xdr:col>1</xdr:col>
      <xdr:colOff>4894125</xdr:colOff>
      <xdr:row>43</xdr:row>
      <xdr:rowOff>102540</xdr:rowOff>
    </xdr:to>
    <xdr:sp macro="" textlink="">
      <xdr:nvSpPr>
        <xdr:cNvPr id="176" name="الزر_التالي" descr="التقدم إلى الورقة التالية">
          <a:hlinkClick xmlns:r="http://schemas.openxmlformats.org/officeDocument/2006/relationships" r:id="rId3" tooltip="انقر هنا للتقدم إلى ورقة العمل التالية"/>
          <a:extLst>
            <a:ext uri="{FF2B5EF4-FFF2-40B4-BE49-F238E27FC236}">
              <a16:creationId xmlns:a16="http://schemas.microsoft.com/office/drawing/2014/main" id="{A7F57915-4D95-47B4-A488-FB7E3D0BBF97}"/>
            </a:ext>
          </a:extLst>
        </xdr:cNvPr>
        <xdr:cNvSpPr/>
      </xdr:nvSpPr>
      <xdr:spPr>
        <a:xfrm flipH="1">
          <a:off x="10919556975" y="8450791"/>
          <a:ext cx="1303200" cy="3385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xdr:twoCellAnchor>
  <xdr:twoCellAnchor editAs="absolute">
    <xdr:from>
      <xdr:col>0</xdr:col>
      <xdr:colOff>628650</xdr:colOff>
      <xdr:row>147</xdr:row>
      <xdr:rowOff>173001</xdr:rowOff>
    </xdr:from>
    <xdr:to>
      <xdr:col>1</xdr:col>
      <xdr:colOff>2503425</xdr:colOff>
      <xdr:row>150</xdr:row>
      <xdr:rowOff>148164</xdr:rowOff>
    </xdr:to>
    <xdr:sp macro="" textlink="">
      <xdr:nvSpPr>
        <xdr:cNvPr id="177" name="زر &quot;التالي&quot;" descr="الرجوع إلى أعلى، مرتبط ارتباطاً تشعبياً إلى الخلية A1">
          <a:hlinkClick xmlns:r="http://schemas.openxmlformats.org/officeDocument/2006/relationships" r:id="rId4" tooltip="الرجوع إلى أعلى"/>
          <a:extLst>
            <a:ext uri="{FF2B5EF4-FFF2-40B4-BE49-F238E27FC236}">
              <a16:creationId xmlns:a16="http://schemas.microsoft.com/office/drawing/2014/main" id="{F1F17ADA-3374-4672-8F57-B7354AE50F61}"/>
            </a:ext>
          </a:extLst>
        </xdr:cNvPr>
        <xdr:cNvSpPr/>
      </xdr:nvSpPr>
      <xdr:spPr>
        <a:xfrm flipH="1">
          <a:off x="10921947675" y="27881226"/>
          <a:ext cx="2836800" cy="518088"/>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الرجوع إلى أعلى</a:t>
          </a:r>
        </a:p>
      </xdr:txBody>
    </xdr:sp>
    <xdr:clientData/>
  </xdr:twoCellAnchor>
  <xdr:twoCellAnchor editAs="absolute">
    <xdr:from>
      <xdr:col>1</xdr:col>
      <xdr:colOff>3619575</xdr:colOff>
      <xdr:row>149</xdr:row>
      <xdr:rowOff>3255</xdr:rowOff>
    </xdr:from>
    <xdr:to>
      <xdr:col>1</xdr:col>
      <xdr:colOff>4922775</xdr:colOff>
      <xdr:row>150</xdr:row>
      <xdr:rowOff>160337</xdr:rowOff>
    </xdr:to>
    <xdr:sp macro="" textlink="">
      <xdr:nvSpPr>
        <xdr:cNvPr id="178" name="زر &quot;التالي&quot;" descr="زر &quot;الخطوة التالية&quot;، الارتباط التشعبي إلى ورقة العمل التالية">
          <a:hlinkClick xmlns:r="http://schemas.openxmlformats.org/officeDocument/2006/relationships" r:id="rId3"/>
          <a:extLst>
            <a:ext uri="{FF2B5EF4-FFF2-40B4-BE49-F238E27FC236}">
              <a16:creationId xmlns:a16="http://schemas.microsoft.com/office/drawing/2014/main" id="{21885DC0-F099-46D4-A1CF-17E11C390036}"/>
            </a:ext>
          </a:extLst>
        </xdr:cNvPr>
        <xdr:cNvSpPr/>
      </xdr:nvSpPr>
      <xdr:spPr>
        <a:xfrm flipH="1">
          <a:off x="10919528325" y="28073430"/>
          <a:ext cx="1303200" cy="33805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الخطوة التالية</a:t>
          </a:r>
        </a:p>
      </xdr:txBody>
    </xdr:sp>
    <xdr:clientData/>
  </xdr:twoCellAnchor>
  <xdr:twoCellAnchor editAs="absolute">
    <xdr:from>
      <xdr:col>1</xdr:col>
      <xdr:colOff>2682918</xdr:colOff>
      <xdr:row>144</xdr:row>
      <xdr:rowOff>40763</xdr:rowOff>
    </xdr:from>
    <xdr:to>
      <xdr:col>1</xdr:col>
      <xdr:colOff>5378695</xdr:colOff>
      <xdr:row>145</xdr:row>
      <xdr:rowOff>153294</xdr:rowOff>
    </xdr:to>
    <xdr:sp macro="" textlink="">
      <xdr:nvSpPr>
        <xdr:cNvPr id="179" name="الخطوة" descr="التدريب المجاني على Excel عبر الإنترنت، مرتبط ارتباطاً تشعبياً إلى الويب&#10;">
          <a:hlinkClick xmlns:r="http://schemas.openxmlformats.org/officeDocument/2006/relationships" r:id="rId5" tooltip="حدد للتعرف على تدريب Excel المجاني من الويب"/>
          <a:extLst>
            <a:ext uri="{FF2B5EF4-FFF2-40B4-BE49-F238E27FC236}">
              <a16:creationId xmlns:a16="http://schemas.microsoft.com/office/drawing/2014/main" id="{8052CE9F-9F0B-4E5C-BCC9-9FAF4B271CC6}"/>
            </a:ext>
          </a:extLst>
        </xdr:cNvPr>
        <xdr:cNvSpPr txBox="1"/>
      </xdr:nvSpPr>
      <xdr:spPr>
        <a:xfrm>
          <a:off x="10919072405" y="27206063"/>
          <a:ext cx="2695777" cy="293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a:t>
          </a:r>
          <a:b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b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الإنترنت</a:t>
          </a:r>
        </a:p>
      </xdr:txBody>
    </xdr:sp>
    <xdr:clientData/>
  </xdr:twoCellAnchor>
  <xdr:twoCellAnchor editAs="absolute">
    <xdr:from>
      <xdr:col>1</xdr:col>
      <xdr:colOff>2239879</xdr:colOff>
      <xdr:row>143</xdr:row>
      <xdr:rowOff>158585</xdr:rowOff>
    </xdr:from>
    <xdr:to>
      <xdr:col>1</xdr:col>
      <xdr:colOff>2682679</xdr:colOff>
      <xdr:row>146</xdr:row>
      <xdr:rowOff>49537</xdr:rowOff>
    </xdr:to>
    <xdr:pic>
      <xdr:nvPicPr>
        <xdr:cNvPr id="180" name="الرسم 22" descr="سهم">
          <a:hlinkClick xmlns:r="http://schemas.openxmlformats.org/officeDocument/2006/relationships" r:id="rId5" tooltip="حدد للتعرّف على المزيد من الويب"/>
          <a:extLst>
            <a:ext uri="{FF2B5EF4-FFF2-40B4-BE49-F238E27FC236}">
              <a16:creationId xmlns:a16="http://schemas.microsoft.com/office/drawing/2014/main" id="{55352AF2-EDC1-4D5D-8D55-283766F1994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1759629" y="27334143"/>
          <a:ext cx="442800" cy="440471"/>
        </a:xfrm>
        <a:prstGeom prst="rect">
          <a:avLst/>
        </a:prstGeom>
      </xdr:spPr>
    </xdr:pic>
    <xdr:clientData/>
  </xdr:twoCellAnchor>
  <xdr:twoCellAnchor editAs="absolute">
    <xdr:from>
      <xdr:col>1</xdr:col>
      <xdr:colOff>2685657</xdr:colOff>
      <xdr:row>142</xdr:row>
      <xdr:rowOff>36972</xdr:rowOff>
    </xdr:from>
    <xdr:to>
      <xdr:col>1</xdr:col>
      <xdr:colOff>5084885</xdr:colOff>
      <xdr:row>143</xdr:row>
      <xdr:rowOff>165656</xdr:rowOff>
    </xdr:to>
    <xdr:sp macro="" textlink="">
      <xdr:nvSpPr>
        <xdr:cNvPr id="181" name="الخطوة" descr="جميع المعلومات حول الدالة MAXIFS، مرتبط ارتباطاً تشعبياً إلى الويب&#10;&#10;">
          <a:hlinkClick xmlns:r="http://schemas.openxmlformats.org/officeDocument/2006/relationships" r:id="rId8" tooltip="حدد للتعرف على جميع المعلومات حول الدالة MAXIFS على الويب"/>
          <a:extLst>
            <a:ext uri="{FF2B5EF4-FFF2-40B4-BE49-F238E27FC236}">
              <a16:creationId xmlns:a16="http://schemas.microsoft.com/office/drawing/2014/main" id="{3FFDC6A0-9831-442E-AB6B-F06D71AAAD14}"/>
            </a:ext>
          </a:extLst>
        </xdr:cNvPr>
        <xdr:cNvSpPr txBox="1"/>
      </xdr:nvSpPr>
      <xdr:spPr>
        <a:xfrm>
          <a:off x="10919357423" y="27029357"/>
          <a:ext cx="2399228" cy="311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MAXIFS</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 </a:t>
          </a:r>
        </a:p>
      </xdr:txBody>
    </xdr:sp>
    <xdr:clientData/>
  </xdr:twoCellAnchor>
  <xdr:twoCellAnchor editAs="absolute">
    <xdr:from>
      <xdr:col>1</xdr:col>
      <xdr:colOff>2244275</xdr:colOff>
      <xdr:row>141</xdr:row>
      <xdr:rowOff>134166</xdr:rowOff>
    </xdr:from>
    <xdr:to>
      <xdr:col>1</xdr:col>
      <xdr:colOff>2687075</xdr:colOff>
      <xdr:row>144</xdr:row>
      <xdr:rowOff>10577</xdr:rowOff>
    </xdr:to>
    <xdr:pic>
      <xdr:nvPicPr>
        <xdr:cNvPr id="182" name="الرسم 22" descr="سهم">
          <a:hlinkClick xmlns:r="http://schemas.openxmlformats.org/officeDocument/2006/relationships" r:id="rId8" tooltip="حدد للتعرّف على المزيد من الويب"/>
          <a:extLst>
            <a:ext uri="{FF2B5EF4-FFF2-40B4-BE49-F238E27FC236}">
              <a16:creationId xmlns:a16="http://schemas.microsoft.com/office/drawing/2014/main" id="{0312C5D5-9BED-4058-BA8F-27C33BF6E36F}"/>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1755233" y="26943378"/>
          <a:ext cx="442800" cy="425930"/>
        </a:xfrm>
        <a:prstGeom prst="rect">
          <a:avLst/>
        </a:prstGeom>
      </xdr:spPr>
    </xdr:pic>
    <xdr:clientData/>
  </xdr:twoCellAnchor>
  <xdr:twoCellAnchor editAs="absolute">
    <xdr:from>
      <xdr:col>1</xdr:col>
      <xdr:colOff>2690372</xdr:colOff>
      <xdr:row>139</xdr:row>
      <xdr:rowOff>131855</xdr:rowOff>
    </xdr:from>
    <xdr:to>
      <xdr:col>1</xdr:col>
      <xdr:colOff>5143500</xdr:colOff>
      <xdr:row>142</xdr:row>
      <xdr:rowOff>10989</xdr:rowOff>
    </xdr:to>
    <xdr:sp macro="" textlink="">
      <xdr:nvSpPr>
        <xdr:cNvPr id="183" name="الخطوة" descr="جميع المعلومات حول الدالة AVERAGEIFS، مرتبط ارتباطاً تشعبياً إلى الويب&#10;&#10;">
          <a:hlinkClick xmlns:r="http://schemas.openxmlformats.org/officeDocument/2006/relationships" r:id="rId9" tooltip="حدد للتعرف على جميع المعلومات حول الدالة AVERAGEIFS على الويب"/>
          <a:extLst>
            <a:ext uri="{FF2B5EF4-FFF2-40B4-BE49-F238E27FC236}">
              <a16:creationId xmlns:a16="http://schemas.microsoft.com/office/drawing/2014/main" id="{5979CD87-1D2E-4D32-BF44-CE7F4285B790}"/>
            </a:ext>
          </a:extLst>
        </xdr:cNvPr>
        <xdr:cNvSpPr txBox="1"/>
      </xdr:nvSpPr>
      <xdr:spPr>
        <a:xfrm>
          <a:off x="10919298808" y="26574720"/>
          <a:ext cx="2453128" cy="42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جميع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AVERAGEIFS</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b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b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دالة</a:t>
          </a:r>
        </a:p>
      </xdr:txBody>
    </xdr:sp>
    <xdr:clientData/>
  </xdr:twoCellAnchor>
  <xdr:twoCellAnchor editAs="absolute">
    <xdr:from>
      <xdr:col>1</xdr:col>
      <xdr:colOff>2246180</xdr:colOff>
      <xdr:row>139</xdr:row>
      <xdr:rowOff>96140</xdr:rowOff>
    </xdr:from>
    <xdr:to>
      <xdr:col>1</xdr:col>
      <xdr:colOff>2688980</xdr:colOff>
      <xdr:row>141</xdr:row>
      <xdr:rowOff>163344</xdr:rowOff>
    </xdr:to>
    <xdr:pic>
      <xdr:nvPicPr>
        <xdr:cNvPr id="184" name="الرسم 22" descr="سهم">
          <a:hlinkClick xmlns:r="http://schemas.openxmlformats.org/officeDocument/2006/relationships" r:id="rId9" tooltip="حدد للتعرّف على المزيد من الويب"/>
          <a:extLst>
            <a:ext uri="{FF2B5EF4-FFF2-40B4-BE49-F238E27FC236}">
              <a16:creationId xmlns:a16="http://schemas.microsoft.com/office/drawing/2014/main" id="{4AE4B0D7-E242-4BB1-872C-53A3C6F0EBE9}"/>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1753328" y="26539005"/>
          <a:ext cx="442800" cy="433551"/>
        </a:xfrm>
        <a:prstGeom prst="rect">
          <a:avLst/>
        </a:prstGeom>
      </xdr:spPr>
    </xdr:pic>
    <xdr:clientData/>
  </xdr:twoCellAnchor>
  <xdr:twoCellAnchor editAs="absolute">
    <xdr:from>
      <xdr:col>0</xdr:col>
      <xdr:colOff>956640</xdr:colOff>
      <xdr:row>139</xdr:row>
      <xdr:rowOff>151053</xdr:rowOff>
    </xdr:from>
    <xdr:to>
      <xdr:col>1</xdr:col>
      <xdr:colOff>1751135</xdr:colOff>
      <xdr:row>141</xdr:row>
      <xdr:rowOff>88944</xdr:rowOff>
    </xdr:to>
    <xdr:sp macro="" textlink="">
      <xdr:nvSpPr>
        <xdr:cNvPr id="185" name="الخطوة" descr="جميع المعلومات حول الدالة AVERAGEIF، مرتبط ارتباطاً تشعبياً إلى الويب&#10;&#10;">
          <a:hlinkClick xmlns:r="http://schemas.openxmlformats.org/officeDocument/2006/relationships" r:id="rId10" tooltip="حدد للتعرف على جميع المعلومات حول الدالة AVERAGEIF على الويب"/>
          <a:extLst>
            <a:ext uri="{FF2B5EF4-FFF2-40B4-BE49-F238E27FC236}">
              <a16:creationId xmlns:a16="http://schemas.microsoft.com/office/drawing/2014/main" id="{9FF9239A-F102-47F3-A0A3-68BDFAFB9C67}"/>
            </a:ext>
          </a:extLst>
        </xdr:cNvPr>
        <xdr:cNvSpPr txBox="1"/>
      </xdr:nvSpPr>
      <xdr:spPr>
        <a:xfrm>
          <a:off x="10922691173" y="26593918"/>
          <a:ext cx="1754322" cy="30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b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br>
          <a: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AVERAGEIF</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clientData/>
  </xdr:twoCellAnchor>
  <xdr:twoCellAnchor editAs="absolute">
    <xdr:from>
      <xdr:col>0</xdr:col>
      <xdr:colOff>551610</xdr:colOff>
      <xdr:row>139</xdr:row>
      <xdr:rowOff>88777</xdr:rowOff>
    </xdr:from>
    <xdr:to>
      <xdr:col>1</xdr:col>
      <xdr:colOff>32385</xdr:colOff>
      <xdr:row>141</xdr:row>
      <xdr:rowOff>155981</xdr:rowOff>
    </xdr:to>
    <xdr:pic>
      <xdr:nvPicPr>
        <xdr:cNvPr id="186" name="الرسم 22" descr="سهم">
          <a:hlinkClick xmlns:r="http://schemas.openxmlformats.org/officeDocument/2006/relationships" r:id="rId10" tooltip="حدد للتعرّف على المزيد من الويب"/>
          <a:extLst>
            <a:ext uri="{FF2B5EF4-FFF2-40B4-BE49-F238E27FC236}">
              <a16:creationId xmlns:a16="http://schemas.microsoft.com/office/drawing/2014/main" id="{0BF07D7D-A138-4ADB-BA72-859640FE1C61}"/>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4418715" y="26349202"/>
          <a:ext cx="442800" cy="429154"/>
        </a:xfrm>
        <a:prstGeom prst="rect">
          <a:avLst/>
        </a:prstGeom>
      </xdr:spPr>
    </xdr:pic>
    <xdr:clientData/>
  </xdr:twoCellAnchor>
  <xdr:twoCellAnchor editAs="absolute">
    <xdr:from>
      <xdr:col>0</xdr:col>
      <xdr:colOff>944206</xdr:colOff>
      <xdr:row>142</xdr:row>
      <xdr:rowOff>28180</xdr:rowOff>
    </xdr:from>
    <xdr:to>
      <xdr:col>1</xdr:col>
      <xdr:colOff>1962150</xdr:colOff>
      <xdr:row>143</xdr:row>
      <xdr:rowOff>154666</xdr:rowOff>
    </xdr:to>
    <xdr:sp macro="" textlink="">
      <xdr:nvSpPr>
        <xdr:cNvPr id="187" name="الخطوة" descr="جميع المعلومات حول الدالة MINIFS مرتبط ارتباطاً تشعبياً إلى الويب&#10;&#10;">
          <a:hlinkClick xmlns:r="http://schemas.openxmlformats.org/officeDocument/2006/relationships" r:id="rId11" tooltip="حدد للتعرف على جميع المعلومات حول الدالة MINIFS على الويب"/>
          <a:extLst>
            <a:ext uri="{FF2B5EF4-FFF2-40B4-BE49-F238E27FC236}">
              <a16:creationId xmlns:a16="http://schemas.microsoft.com/office/drawing/2014/main" id="{5BA88C28-4CAB-4843-A9C6-0DA18559CEDE}"/>
            </a:ext>
          </a:extLst>
        </xdr:cNvPr>
        <xdr:cNvSpPr txBox="1"/>
      </xdr:nvSpPr>
      <xdr:spPr>
        <a:xfrm>
          <a:off x="10922488950" y="26831530"/>
          <a:ext cx="1979969" cy="307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b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b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MINIFS</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الدالة</a:t>
          </a:r>
        </a:p>
      </xdr:txBody>
    </xdr:sp>
    <xdr:clientData/>
  </xdr:twoCellAnchor>
  <xdr:twoCellAnchor editAs="absolute">
    <xdr:from>
      <xdr:col>0</xdr:col>
      <xdr:colOff>549705</xdr:colOff>
      <xdr:row>141</xdr:row>
      <xdr:rowOff>135211</xdr:rowOff>
    </xdr:from>
    <xdr:to>
      <xdr:col>1</xdr:col>
      <xdr:colOff>30480</xdr:colOff>
      <xdr:row>144</xdr:row>
      <xdr:rowOff>11915</xdr:rowOff>
    </xdr:to>
    <xdr:pic>
      <xdr:nvPicPr>
        <xdr:cNvPr id="188" name="الرسم 22" descr="سهم">
          <a:hlinkClick xmlns:r="http://schemas.openxmlformats.org/officeDocument/2006/relationships" r:id="rId11" tooltip="حدد للتعرّف على المزيد من الويب"/>
          <a:extLst>
            <a:ext uri="{FF2B5EF4-FFF2-40B4-BE49-F238E27FC236}">
              <a16:creationId xmlns:a16="http://schemas.microsoft.com/office/drawing/2014/main" id="{62494F7F-FF74-4EDC-AECB-91C2A1BA7E9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4420620" y="26757586"/>
          <a:ext cx="442800" cy="419629"/>
        </a:xfrm>
        <a:prstGeom prst="rect">
          <a:avLst/>
        </a:prstGeom>
      </xdr:spPr>
    </xdr:pic>
    <xdr:clientData/>
  </xdr:twoCellAnchor>
  <xdr:twoCellAnchor editAs="absolute">
    <xdr:from>
      <xdr:col>1</xdr:col>
      <xdr:colOff>2707240</xdr:colOff>
      <xdr:row>137</xdr:row>
      <xdr:rowOff>101448</xdr:rowOff>
    </xdr:from>
    <xdr:to>
      <xdr:col>1</xdr:col>
      <xdr:colOff>5172808</xdr:colOff>
      <xdr:row>139</xdr:row>
      <xdr:rowOff>180241</xdr:rowOff>
    </xdr:to>
    <xdr:sp macro="" textlink="">
      <xdr:nvSpPr>
        <xdr:cNvPr id="189" name="الخطوة" descr="جميع المعلومات حول الدالة COUNTIFS، مرتبط ارتباطاً تشعبياً إلى الويب&#10;&#10;">
          <a:hlinkClick xmlns:r="http://schemas.openxmlformats.org/officeDocument/2006/relationships" r:id="rId12" tooltip="حدد للتعرف على جميع المعلومات حول الدالة COUNTIFS على الويب"/>
          <a:extLst>
            <a:ext uri="{FF2B5EF4-FFF2-40B4-BE49-F238E27FC236}">
              <a16:creationId xmlns:a16="http://schemas.microsoft.com/office/drawing/2014/main" id="{EADD320D-BECB-4510-A526-402BC7B8CE52}"/>
            </a:ext>
          </a:extLst>
        </xdr:cNvPr>
        <xdr:cNvSpPr txBox="1"/>
      </xdr:nvSpPr>
      <xdr:spPr>
        <a:xfrm>
          <a:off x="10919269500" y="26177967"/>
          <a:ext cx="2465568" cy="445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جميع المعلومات حول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COUNTIFS</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b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b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دالة</a:t>
          </a:r>
        </a:p>
      </xdr:txBody>
    </xdr:sp>
    <xdr:clientData/>
  </xdr:twoCellAnchor>
  <xdr:twoCellAnchor editAs="absolute">
    <xdr:from>
      <xdr:col>1</xdr:col>
      <xdr:colOff>2248671</xdr:colOff>
      <xdr:row>137</xdr:row>
      <xdr:rowOff>51519</xdr:rowOff>
    </xdr:from>
    <xdr:to>
      <xdr:col>1</xdr:col>
      <xdr:colOff>2691471</xdr:colOff>
      <xdr:row>139</xdr:row>
      <xdr:rowOff>119016</xdr:rowOff>
    </xdr:to>
    <xdr:pic>
      <xdr:nvPicPr>
        <xdr:cNvPr id="190" name="الرسم 22" descr="سهم">
          <a:hlinkClick xmlns:r="http://schemas.openxmlformats.org/officeDocument/2006/relationships" r:id="rId12" tooltip="حدد للتعرّف على المزيد من الويب"/>
          <a:extLst>
            <a:ext uri="{FF2B5EF4-FFF2-40B4-BE49-F238E27FC236}">
              <a16:creationId xmlns:a16="http://schemas.microsoft.com/office/drawing/2014/main" id="{FAA7F95B-5D2C-47C5-B0BA-4E44FFE420D1}"/>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1750837" y="26128038"/>
          <a:ext cx="442800" cy="433843"/>
        </a:xfrm>
        <a:prstGeom prst="rect">
          <a:avLst/>
        </a:prstGeom>
      </xdr:spPr>
    </xdr:pic>
    <xdr:clientData/>
  </xdr:twoCellAnchor>
  <xdr:twoCellAnchor editAs="absolute">
    <xdr:from>
      <xdr:col>1</xdr:col>
      <xdr:colOff>2720983</xdr:colOff>
      <xdr:row>135</xdr:row>
      <xdr:rowOff>90532</xdr:rowOff>
    </xdr:from>
    <xdr:to>
      <xdr:col>1</xdr:col>
      <xdr:colOff>5150828</xdr:colOff>
      <xdr:row>137</xdr:row>
      <xdr:rowOff>29693</xdr:rowOff>
    </xdr:to>
    <xdr:sp macro="" textlink="">
      <xdr:nvSpPr>
        <xdr:cNvPr id="191" name="الخطوة" descr="جميع المعلومات حول الدالة SUMIFS، مرتبط ارتباطاً تشعبياً إلى الويب&#10;&#10;">
          <a:hlinkClick xmlns:r="http://schemas.openxmlformats.org/officeDocument/2006/relationships" r:id="rId13" tooltip="حدد للتعرف على جميع المعلومات حول الدالة SUMIFS على الويب"/>
          <a:extLst>
            <a:ext uri="{FF2B5EF4-FFF2-40B4-BE49-F238E27FC236}">
              <a16:creationId xmlns:a16="http://schemas.microsoft.com/office/drawing/2014/main" id="{791E8E89-8DEE-430C-AEDB-E56F74AA279F}"/>
            </a:ext>
          </a:extLst>
        </xdr:cNvPr>
        <xdr:cNvSpPr txBox="1"/>
      </xdr:nvSpPr>
      <xdr:spPr>
        <a:xfrm>
          <a:off x="10919291480" y="25800705"/>
          <a:ext cx="2429845" cy="305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الدالة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SUMIFS</a:t>
          </a:r>
          <a:br>
            <a:rPr lang="en-US"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b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clientData/>
  </xdr:twoCellAnchor>
  <xdr:twoCellAnchor editAs="absolute">
    <xdr:from>
      <xdr:col>1</xdr:col>
      <xdr:colOff>2251710</xdr:colOff>
      <xdr:row>135</xdr:row>
      <xdr:rowOff>16326</xdr:rowOff>
    </xdr:from>
    <xdr:to>
      <xdr:col>1</xdr:col>
      <xdr:colOff>2693671</xdr:colOff>
      <xdr:row>137</xdr:row>
      <xdr:rowOff>77180</xdr:rowOff>
    </xdr:to>
    <xdr:pic>
      <xdr:nvPicPr>
        <xdr:cNvPr id="192" name="الرسم 22" descr="سهم">
          <a:hlinkClick xmlns:r="http://schemas.openxmlformats.org/officeDocument/2006/relationships" r:id="rId13" tooltip="حدد للتعرّف على المزيد من الويب"/>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1748637" y="25726499"/>
          <a:ext cx="441961" cy="427200"/>
        </a:xfrm>
        <a:prstGeom prst="rect">
          <a:avLst/>
        </a:prstGeom>
      </xdr:spPr>
    </xdr:pic>
    <xdr:clientData/>
  </xdr:twoCellAnchor>
  <xdr:twoCellAnchor editAs="absolute">
    <xdr:from>
      <xdr:col>0</xdr:col>
      <xdr:colOff>955202</xdr:colOff>
      <xdr:row>135</xdr:row>
      <xdr:rowOff>67233</xdr:rowOff>
    </xdr:from>
    <xdr:to>
      <xdr:col>1</xdr:col>
      <xdr:colOff>2188846</xdr:colOff>
      <xdr:row>137</xdr:row>
      <xdr:rowOff>4489</xdr:rowOff>
    </xdr:to>
    <xdr:sp macro="" textlink="">
      <xdr:nvSpPr>
        <xdr:cNvPr id="193" name="الخطوة" descr="جميع المعلومات حول الدالة SUMIF، مرتبط ارتباطاً تشعبياً إلى الويب&#10;&#10;">
          <a:hlinkClick xmlns:r="http://schemas.openxmlformats.org/officeDocument/2006/relationships" r:id="rId14" tooltip="حدد للتعرف على جميع المعلومات حول الدالة SUMIF على الويب"/>
          <a:extLst>
            <a:ext uri="{FF2B5EF4-FFF2-40B4-BE49-F238E27FC236}">
              <a16:creationId xmlns:a16="http://schemas.microsoft.com/office/drawing/2014/main" id="{EAC8BE16-FCC7-483A-A30D-3B1F29F65450}"/>
            </a:ext>
          </a:extLst>
        </xdr:cNvPr>
        <xdr:cNvSpPr txBox="1"/>
      </xdr:nvSpPr>
      <xdr:spPr>
        <a:xfrm flipH="1">
          <a:off x="10922262254" y="25603758"/>
          <a:ext cx="2195669" cy="299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a:t>
          </a:r>
          <a: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SUMIF</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clientData/>
  </xdr:twoCellAnchor>
  <xdr:twoCellAnchor editAs="absolute">
    <xdr:from>
      <xdr:col>0</xdr:col>
      <xdr:colOff>557325</xdr:colOff>
      <xdr:row>135</xdr:row>
      <xdr:rowOff>2259</xdr:rowOff>
    </xdr:from>
    <xdr:to>
      <xdr:col>1</xdr:col>
      <xdr:colOff>38100</xdr:colOff>
      <xdr:row>137</xdr:row>
      <xdr:rowOff>63113</xdr:rowOff>
    </xdr:to>
    <xdr:pic>
      <xdr:nvPicPr>
        <xdr:cNvPr id="194" name="الرسم 22" descr="سهم">
          <a:hlinkClick xmlns:r="http://schemas.openxmlformats.org/officeDocument/2006/relationships" r:id="rId14" tooltip="حدد للتعرّف على المزيد من الويب"/>
          <a:extLst>
            <a:ext uri="{FF2B5EF4-FFF2-40B4-BE49-F238E27FC236}">
              <a16:creationId xmlns:a16="http://schemas.microsoft.com/office/drawing/2014/main" id="{45F9CDAC-0421-4A99-A231-CE800072428D}"/>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4413000" y="25538784"/>
          <a:ext cx="442800" cy="422804"/>
        </a:xfrm>
        <a:prstGeom prst="rect">
          <a:avLst/>
        </a:prstGeom>
      </xdr:spPr>
    </xdr:pic>
    <xdr:clientData/>
  </xdr:twoCellAnchor>
  <xdr:twoCellAnchor editAs="absolute">
    <xdr:from>
      <xdr:col>0</xdr:col>
      <xdr:colOff>955925</xdr:colOff>
      <xdr:row>137</xdr:row>
      <xdr:rowOff>104775</xdr:rowOff>
    </xdr:from>
    <xdr:to>
      <xdr:col>1</xdr:col>
      <xdr:colOff>1847851</xdr:colOff>
      <xdr:row>139</xdr:row>
      <xdr:rowOff>85725</xdr:rowOff>
    </xdr:to>
    <xdr:sp macro="" textlink="">
      <xdr:nvSpPr>
        <xdr:cNvPr id="195" name="الخطوة" descr="جميع المعلومات حول الدالة COUNTIF، مرتبط ارتباطاً تشعبياً إلى الويب&#10;&#10;">
          <a:hlinkClick xmlns:r="http://schemas.openxmlformats.org/officeDocument/2006/relationships" r:id="rId15" tooltip="حدد للتعرف على جميع المعلومات حول الدالة COUNTIF على الويب"/>
          <a:extLst>
            <a:ext uri="{FF2B5EF4-FFF2-40B4-BE49-F238E27FC236}">
              <a16:creationId xmlns:a16="http://schemas.microsoft.com/office/drawing/2014/main" id="{C6912341-001C-497C-904C-1E09825E8C65}"/>
            </a:ext>
          </a:extLst>
        </xdr:cNvPr>
        <xdr:cNvSpPr txBox="1"/>
      </xdr:nvSpPr>
      <xdr:spPr>
        <a:xfrm>
          <a:off x="10922603249" y="26003250"/>
          <a:ext cx="185395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كافة المعلومات حول الدالة </a:t>
          </a:r>
          <a:b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br>
          <a:r>
            <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a:t>
          </a:r>
          <a:r>
            <a:rPr lang="ar" sz="1100" b="1"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COUNTIF</a:t>
          </a: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الدالة</a:t>
          </a:r>
        </a:p>
      </xdr:txBody>
    </xdr:sp>
    <xdr:clientData/>
  </xdr:twoCellAnchor>
  <xdr:twoCellAnchor editAs="absolute">
    <xdr:from>
      <xdr:col>0</xdr:col>
      <xdr:colOff>553515</xdr:colOff>
      <xdr:row>137</xdr:row>
      <xdr:rowOff>42343</xdr:rowOff>
    </xdr:from>
    <xdr:to>
      <xdr:col>1</xdr:col>
      <xdr:colOff>34290</xdr:colOff>
      <xdr:row>139</xdr:row>
      <xdr:rowOff>109547</xdr:rowOff>
    </xdr:to>
    <xdr:pic>
      <xdr:nvPicPr>
        <xdr:cNvPr id="196" name="الرسم 22" descr="سهم">
          <a:hlinkClick xmlns:r="http://schemas.openxmlformats.org/officeDocument/2006/relationships" r:id="rId15" tooltip="حدد للتعرّف على المزيد من الويب"/>
          <a:extLst>
            <a:ext uri="{FF2B5EF4-FFF2-40B4-BE49-F238E27FC236}">
              <a16:creationId xmlns:a16="http://schemas.microsoft.com/office/drawing/2014/main" id="{B19BEEB5-AD6A-49CD-BF7B-42649EF8A5C6}"/>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4416810" y="25940818"/>
          <a:ext cx="442800" cy="429154"/>
        </a:xfrm>
        <a:prstGeom prst="rect">
          <a:avLst/>
        </a:prstGeom>
      </xdr:spPr>
    </xdr:pic>
    <xdr:clientData/>
  </xdr:twoCellAnchor>
  <xdr:twoCellAnchor editAs="absolute">
    <xdr:from>
      <xdr:col>0</xdr:col>
      <xdr:colOff>935138</xdr:colOff>
      <xdr:row>144</xdr:row>
      <xdr:rowOff>56755</xdr:rowOff>
    </xdr:from>
    <xdr:to>
      <xdr:col>1</xdr:col>
      <xdr:colOff>1779270</xdr:colOff>
      <xdr:row>146</xdr:row>
      <xdr:rowOff>2266</xdr:rowOff>
    </xdr:to>
    <xdr:sp macro="" textlink="">
      <xdr:nvSpPr>
        <xdr:cNvPr id="197" name="الخطوة" descr="إنشاء قائمة منسدلة، مرتبطة ارتباطاً تشعبياً إلى الويب&#10;&#10;">
          <a:hlinkClick xmlns:r="http://schemas.openxmlformats.org/officeDocument/2006/relationships" r:id="rId16" tooltip="حدد للتعرف على جميع المعلومات حول إنشاء قائمة منسدلة على الويب"/>
          <a:extLst>
            <a:ext uri="{FF2B5EF4-FFF2-40B4-BE49-F238E27FC236}">
              <a16:creationId xmlns:a16="http://schemas.microsoft.com/office/drawing/2014/main" id="{0E1FD4BB-1B69-400F-9A73-D9D7B8667E1C}"/>
            </a:ext>
          </a:extLst>
        </xdr:cNvPr>
        <xdr:cNvSpPr txBox="1"/>
      </xdr:nvSpPr>
      <xdr:spPr>
        <a:xfrm>
          <a:off x="10922671830" y="27222055"/>
          <a:ext cx="1806157" cy="307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إنشاء قائمة منسدلة</a:t>
          </a:r>
        </a:p>
      </xdr:txBody>
    </xdr:sp>
    <xdr:clientData/>
  </xdr:twoCellAnchor>
  <xdr:twoCellAnchor editAs="absolute">
    <xdr:from>
      <xdr:col>0</xdr:col>
      <xdr:colOff>542085</xdr:colOff>
      <xdr:row>144</xdr:row>
      <xdr:rowOff>671</xdr:rowOff>
    </xdr:from>
    <xdr:to>
      <xdr:col>1</xdr:col>
      <xdr:colOff>22860</xdr:colOff>
      <xdr:row>146</xdr:row>
      <xdr:rowOff>58350</xdr:rowOff>
    </xdr:to>
    <xdr:pic>
      <xdr:nvPicPr>
        <xdr:cNvPr id="198" name="الرسم 22" descr="سهم">
          <a:hlinkClick xmlns:r="http://schemas.openxmlformats.org/officeDocument/2006/relationships" r:id="rId16" tooltip="حدد للتعرّف على المزيد من الويب"/>
          <a:extLst>
            <a:ext uri="{FF2B5EF4-FFF2-40B4-BE49-F238E27FC236}">
              <a16:creationId xmlns:a16="http://schemas.microsoft.com/office/drawing/2014/main" id="{66C373A0-3E96-4B8D-BE49-6F426671C29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924428240" y="27165971"/>
          <a:ext cx="442800" cy="419629"/>
        </a:xfrm>
        <a:prstGeom prst="rect">
          <a:avLst/>
        </a:prstGeom>
      </xdr:spPr>
    </xdr:pic>
    <xdr:clientData/>
  </xdr:twoCellAnchor>
  <xdr:twoCellAnchor editAs="absolute">
    <xdr:from>
      <xdr:col>0</xdr:col>
      <xdr:colOff>523789</xdr:colOff>
      <xdr:row>21</xdr:row>
      <xdr:rowOff>38100</xdr:rowOff>
    </xdr:from>
    <xdr:to>
      <xdr:col>1</xdr:col>
      <xdr:colOff>4800601</xdr:colOff>
      <xdr:row>25</xdr:row>
      <xdr:rowOff>114300</xdr:rowOff>
    </xdr:to>
    <xdr:grpSp>
      <xdr:nvGrpSpPr>
        <xdr:cNvPr id="4" name="المجموعة 3">
          <a:extLst>
            <a:ext uri="{FF2B5EF4-FFF2-40B4-BE49-F238E27FC236}">
              <a16:creationId xmlns:a16="http://schemas.microsoft.com/office/drawing/2014/main" id="{5F83CBBA-90B0-4EB0-9AB8-57CF000EADA5}"/>
            </a:ext>
          </a:extLst>
        </xdr:cNvPr>
        <xdr:cNvGrpSpPr/>
      </xdr:nvGrpSpPr>
      <xdr:grpSpPr>
        <a:xfrm flipH="1">
          <a:off x="10919650499" y="4610100"/>
          <a:ext cx="5238837" cy="838200"/>
          <a:chOff x="571500" y="4610100"/>
          <a:chExt cx="5229626" cy="838200"/>
        </a:xfrm>
      </xdr:grpSpPr>
      <xdr:sp macro="" textlink="">
        <xdr:nvSpPr>
          <xdr:cNvPr id="200" name="نص_ الخطوة" descr="إن SUMIFS هو نفسه SUMIF، ولكنه يتيح لك استخدام معايير متعددة. لذا في هذا المثال، يمكنك البحث عن الفاكهة والنوع بدلاً من البحث عن الفاكهة فقط. حدد الخلية H17 واكتب =SUMIFS(H3:H14,F3:F14,F17,G3:G14,G17). يتم بناء SUMIFS هكذا:&#10;&#10;&#10;">
            <a:extLst>
              <a:ext uri="{FF2B5EF4-FFF2-40B4-BE49-F238E27FC236}">
                <a16:creationId xmlns:a16="http://schemas.microsoft.com/office/drawing/2014/main" id="{4F912E6F-F743-47DF-85DF-3039C56B3212}"/>
              </a:ext>
            </a:extLst>
          </xdr:cNvPr>
          <xdr:cNvSpPr txBox="1"/>
        </xdr:nvSpPr>
        <xdr:spPr>
          <a:xfrm flipH="1">
            <a:off x="991382" y="4652058"/>
            <a:ext cx="4809744" cy="796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الدالة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SUMIFS</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هي نفس الدالة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SUMIF،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ولكنها تتيح لك استخدام معايير متعددة. وبالتالي في هذا المثال، يمكنك البحث عن الفاكهة والنوع، بدلاً من الفاكهة فقط. حدد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H17</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واكتب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=SUMIFS(H3:H14;F3:F14;F17;G3:G14;G17)</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تتم هيكلة</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SUMIFS</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كما يلي:</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1" name="شكل_الخطوة" descr="2">
            <a:extLst>
              <a:ext uri="{FF2B5EF4-FFF2-40B4-BE49-F238E27FC236}">
                <a16:creationId xmlns:a16="http://schemas.microsoft.com/office/drawing/2014/main" id="{1D52C7D7-6054-4019-A8DF-A592149208E6}"/>
              </a:ext>
            </a:extLst>
          </xdr:cNvPr>
          <xdr:cNvSpPr/>
        </xdr:nvSpPr>
        <xdr:spPr>
          <a:xfrm flipH="1">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clientData/>
  </xdr:twoCellAnchor>
  <xdr:twoCellAnchor editAs="absolute">
    <xdr:from>
      <xdr:col>0</xdr:col>
      <xdr:colOff>361949</xdr:colOff>
      <xdr:row>111</xdr:row>
      <xdr:rowOff>114300</xdr:rowOff>
    </xdr:from>
    <xdr:to>
      <xdr:col>1</xdr:col>
      <xdr:colOff>5248275</xdr:colOff>
      <xdr:row>130</xdr:row>
      <xdr:rowOff>129737</xdr:rowOff>
    </xdr:to>
    <xdr:grpSp>
      <xdr:nvGrpSpPr>
        <xdr:cNvPr id="202" name="المزيد حول SUMIF"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B8E178DB-194F-437D-A671-57E96B94B0C8}"/>
            </a:ext>
          </a:extLst>
        </xdr:cNvPr>
        <xdr:cNvGrpSpPr/>
      </xdr:nvGrpSpPr>
      <xdr:grpSpPr>
        <a:xfrm flipH="1">
          <a:off x="10919202825" y="21269325"/>
          <a:ext cx="5848351" cy="3492062"/>
          <a:chOff x="347872" y="13364013"/>
          <a:chExt cx="5695950" cy="3673037"/>
        </a:xfrm>
      </xdr:grpSpPr>
      <xdr:sp macro="" textlink="">
        <xdr:nvSpPr>
          <xdr:cNvPr id="203" name="مستطيل 202" descr="الخلفية">
            <a:extLst>
              <a:ext uri="{FF2B5EF4-FFF2-40B4-BE49-F238E27FC236}">
                <a16:creationId xmlns:a16="http://schemas.microsoft.com/office/drawing/2014/main" id="{511D36F9-540E-473D-938B-915FC423BB65}"/>
              </a:ext>
            </a:extLst>
          </xdr:cNvPr>
          <xdr:cNvSpPr/>
        </xdr:nvSpPr>
        <xdr:spPr>
          <a:xfrm flipH="1">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cxnSp macro="">
        <xdr:nvCxnSpPr>
          <xdr:cNvPr id="204" name="موصل مستقيم 203" descr="سطر مزخرف">
            <a:extLst>
              <a:ext uri="{FF2B5EF4-FFF2-40B4-BE49-F238E27FC236}">
                <a16:creationId xmlns:a16="http://schemas.microsoft.com/office/drawing/2014/main" id="{8CE19759-2E0E-4B02-9036-C026578459EA}"/>
              </a:ext>
            </a:extLst>
          </xdr:cNvPr>
          <xdr:cNvCxnSpPr>
            <a:cxnSpLocks/>
          </xdr:cNvCxnSpPr>
        </xdr:nvCxnSpPr>
        <xdr:spPr>
          <a:xfrm flipH="1">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موصل مستقيم 204" descr="سطر مزخرف">
            <a:extLst>
              <a:ext uri="{FF2B5EF4-FFF2-40B4-BE49-F238E27FC236}">
                <a16:creationId xmlns:a16="http://schemas.microsoft.com/office/drawing/2014/main" id="{723D124C-02B5-4BA5-9E97-CD05528A4CEB}"/>
              </a:ext>
            </a:extLst>
          </xdr:cNvPr>
          <xdr:cNvCxnSpPr>
            <a:cxnSpLocks/>
          </xdr:cNvCxnSpPr>
        </xdr:nvCxnSpPr>
        <xdr:spPr>
          <a:xfrm flipH="1">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الخطوة" descr="SUMIF مع وسيطة قيمة&#10;">
            <a:extLst>
              <a:ext uri="{FF2B5EF4-FFF2-40B4-BE49-F238E27FC236}">
                <a16:creationId xmlns:a16="http://schemas.microsoft.com/office/drawing/2014/main" id="{5235BA6D-D4C0-4535-80CC-C79544A0F77D}"/>
              </a:ext>
            </a:extLst>
          </xdr:cNvPr>
          <xdr:cNvSpPr txBox="1"/>
        </xdr:nvSpPr>
        <xdr:spPr>
          <a:xfrm flipH="1">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SUMIF مع وسيطة قيمة</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sp macro="" textlink="">
        <xdr:nvSpPr>
          <xdr:cNvPr id="207" name="الخطوة" descr="فيما يلي مثال على الدالة SUMIF باستخدام أكبر من للعثور على جميع القيم الأكبر من القيمة المقدمة:&#10;&#10;">
            <a:extLst>
              <a:ext uri="{FF2B5EF4-FFF2-40B4-BE49-F238E27FC236}">
                <a16:creationId xmlns:a16="http://schemas.microsoft.com/office/drawing/2014/main" id="{792313DA-1F40-48BD-8EAF-3D313D4FB9FC}"/>
              </a:ext>
            </a:extLst>
          </xdr:cNvPr>
          <xdr:cNvSpPr txBox="1"/>
        </xdr:nvSpPr>
        <xdr:spPr>
          <a:xfrm flipH="1">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فيما يلي</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مثال على الدالة </a:t>
            </a:r>
            <a:r>
              <a:rPr lang="ar" sz="1100" b="1"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SUMIF</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باستخدام أكبر من (</a:t>
            </a:r>
            <a:r>
              <a:rPr lang="ar" sz="1100" b="1"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&gt;</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للعثور على كافة القيم الأكبر من القيمة المقدمة:</a:t>
            </a:r>
            <a:endParaRPr lang="en-US" sz="1100" kern="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sp macro="" textlink="">
        <xdr:nvSpPr>
          <xdr:cNvPr id="208" name="الخطوة" descr="ملاحظة:إذا وجدت نفسك تكتب الكثير من صيغ SUMIF، فربما تجد أن PivotTable حلاً أفضل. انقر لمشاهدة مقال عن PivotTable على الويب للاطلاع على المزيد من المعلومات&#10;">
            <a:hlinkClick xmlns:r="http://schemas.openxmlformats.org/officeDocument/2006/relationships" r:id="rId17" tooltip="حدد للانتقال إلى ورقة العمل PivotTable"/>
            <a:extLst>
              <a:ext uri="{FF2B5EF4-FFF2-40B4-BE49-F238E27FC236}">
                <a16:creationId xmlns:a16="http://schemas.microsoft.com/office/drawing/2014/main" id="{34FB80A3-CAA8-4879-81AA-6C9C6DA04FF8}"/>
              </a:ext>
            </a:extLst>
          </xdr:cNvPr>
          <xdr:cNvSpPr txBox="1"/>
        </xdr:nvSpPr>
        <xdr:spPr>
          <a:xfrm flipH="1">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b="1"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ملاحظة: </a:t>
            </a:r>
            <a:r>
              <a:rPr lang="ar" sz="1100"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إذا وجدت</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أنك قمت بإجراء عدد كبير من الصيغ الشرطية، فقد تجد أن PivotTable تعد حلاً أفضل. </a:t>
            </a:r>
            <a:r>
              <a:rPr lang="ar" sz="1100" u="sng"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راجع مقالة PivotTable لمزيد من المعلومات</a:t>
            </a:r>
            <a:r>
              <a:rPr lang="ar" sz="1100"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a:t>
            </a:r>
            <a:endParaRPr lang="en-US" sz="1100" kern="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sp macro="" textlink="">
        <xdr:nvSpPr>
          <xdr:cNvPr id="209" name="مربع نص 100" descr="=SUMIF(D118:D122,&quot;&gt;=50&quot;)&#10;&#10;&#10;">
            <a:extLst>
              <a:ext uri="{FF2B5EF4-FFF2-40B4-BE49-F238E27FC236}">
                <a16:creationId xmlns:a16="http://schemas.microsoft.com/office/drawing/2014/main" id="{081FEA47-A154-4881-BA88-6F77A1DA2820}"/>
              </a:ext>
            </a:extLst>
          </xdr:cNvPr>
          <xdr:cNvSpPr txBox="1"/>
        </xdr:nvSpPr>
        <xdr:spPr>
          <a:xfrm flipH="1">
            <a:off x="541774" y="15754051"/>
            <a:ext cx="3800296"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1" anchor="t"/>
          <a:lstStyle/>
          <a:p>
            <a:pPr rtl="1"/>
            <a:r>
              <a:rPr lang="en-US" sz="2000" b="0" i="0" u="none" strike="noStrike" baseline="0">
                <a:solidFill>
                  <a:schemeClr val="dk1"/>
                </a:solidFill>
                <a:latin typeface="Courier New" panose="02070309020205020404" pitchFamily="49" charset="0"/>
                <a:ea typeface="+mn-ea"/>
                <a:cs typeface="Courier New" panose="02070309020205020404" pitchFamily="49" charset="0"/>
              </a:rPr>
              <a:t>=SUMIF(D118:D122;"&gt;=50")</a:t>
            </a:r>
          </a:p>
        </xdr:txBody>
      </xdr:sp>
      <xdr:sp macro="" textlink="">
        <xdr:nvSpPr>
          <xdr:cNvPr id="210" name="قوس كبير أيسر 209">
            <a:extLst>
              <a:ext uri="{FF2B5EF4-FFF2-40B4-BE49-F238E27FC236}">
                <a16:creationId xmlns:a16="http://schemas.microsoft.com/office/drawing/2014/main" id="{D4198EE4-6DA5-4995-A5C3-297510D75CBC}"/>
              </a:ext>
            </a:extLst>
          </xdr:cNvPr>
          <xdr:cNvSpPr/>
        </xdr:nvSpPr>
        <xdr:spPr>
          <a:xfrm rot="16200000" flipH="1">
            <a:off x="3475613"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11" name="مربع نص 2" descr="قم بجمع بعض القيم استناداً إلى هذه المعايير:&#10;">
            <a:extLst>
              <a:ext uri="{FF2B5EF4-FFF2-40B4-BE49-F238E27FC236}">
                <a16:creationId xmlns:a16="http://schemas.microsoft.com/office/drawing/2014/main" id="{68686DE4-CB48-4915-8A63-E98D9F67B388}"/>
              </a:ext>
            </a:extLst>
          </xdr:cNvPr>
          <xdr:cNvSpPr txBox="1">
            <a:spLocks noChangeArrowheads="1"/>
          </xdr:cNvSpPr>
        </xdr:nvSpPr>
        <xdr:spPr bwMode="auto">
          <a:xfrm flipH="1">
            <a:off x="3007794"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قم بجمع بعض القيم استناداً إلى هذه المعايير:</a:t>
            </a:r>
          </a:p>
        </xdr:txBody>
      </xdr:sp>
      <xdr:sp macro="" textlink="">
        <xdr:nvSpPr>
          <xdr:cNvPr id="212" name="قوس كبير أيسر 211">
            <a:extLst>
              <a:ext uri="{FF2B5EF4-FFF2-40B4-BE49-F238E27FC236}">
                <a16:creationId xmlns:a16="http://schemas.microsoft.com/office/drawing/2014/main" id="{1F715516-41DD-4007-B4E1-F5219D7F5E3F}"/>
              </a:ext>
            </a:extLst>
          </xdr:cNvPr>
          <xdr:cNvSpPr/>
        </xdr:nvSpPr>
        <xdr:spPr>
          <a:xfrm rot="16200000" flipH="1">
            <a:off x="2253211"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13" name="مربع نص 2" descr="....Look through these cells...&#10; &#10;">
            <a:extLst>
              <a:ext uri="{FF2B5EF4-FFF2-40B4-BE49-F238E27FC236}">
                <a16:creationId xmlns:a16="http://schemas.microsoft.com/office/drawing/2014/main" id="{85793BB1-60AB-4D75-A97F-587A5AAF3641}"/>
              </a:ext>
            </a:extLst>
          </xdr:cNvPr>
          <xdr:cNvSpPr txBox="1">
            <a:spLocks noChangeArrowheads="1"/>
          </xdr:cNvSpPr>
        </xdr:nvSpPr>
        <xdr:spPr bwMode="auto">
          <a:xfrm flipH="1">
            <a:off x="1822777"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....استعرض هذه الخلايا...</a:t>
            </a:r>
          </a:p>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 </a:t>
            </a:r>
          </a:p>
        </xdr:txBody>
      </xdr:sp>
      <xdr:sp macro="" textlink="">
        <xdr:nvSpPr>
          <xdr:cNvPr id="214" name="قوس كبير أيسر 213">
            <a:extLst>
              <a:ext uri="{FF2B5EF4-FFF2-40B4-BE49-F238E27FC236}">
                <a16:creationId xmlns:a16="http://schemas.microsoft.com/office/drawing/2014/main" id="{DDE8A4F2-7D99-42CD-BA7B-3FD932A6B224}"/>
              </a:ext>
            </a:extLst>
          </xdr:cNvPr>
          <xdr:cNvSpPr/>
        </xdr:nvSpPr>
        <xdr:spPr>
          <a:xfrm rot="16200000" flipH="1">
            <a:off x="1116678" y="15181807"/>
            <a:ext cx="271590" cy="808946"/>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15" name="مربع نص 2" descr="...and if the value is greater than 50, sum it up&#10; &#10;">
            <a:extLst>
              <a:ext uri="{FF2B5EF4-FFF2-40B4-BE49-F238E27FC236}">
                <a16:creationId xmlns:a16="http://schemas.microsoft.com/office/drawing/2014/main" id="{34E10F90-E5DA-4762-813E-A88E491D6100}"/>
              </a:ext>
            </a:extLst>
          </xdr:cNvPr>
          <xdr:cNvSpPr txBox="1">
            <a:spLocks noChangeArrowheads="1"/>
          </xdr:cNvSpPr>
        </xdr:nvSpPr>
        <xdr:spPr bwMode="auto">
          <a:xfrm flipH="1">
            <a:off x="776109" y="14681095"/>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...وإذا كانت القيمة أكبر من 50، فقم بجمعها.</a:t>
            </a:r>
          </a:p>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 </a:t>
            </a:r>
          </a:p>
        </xdr:txBody>
      </xdr:sp>
    </xdr:grpSp>
    <xdr:clientData/>
  </xdr:twoCellAnchor>
  <xdr:twoCellAnchor>
    <xdr:from>
      <xdr:col>5</xdr:col>
      <xdr:colOff>299651</xdr:colOff>
      <xdr:row>17</xdr:row>
      <xdr:rowOff>154967</xdr:rowOff>
    </xdr:from>
    <xdr:to>
      <xdr:col>11</xdr:col>
      <xdr:colOff>133350</xdr:colOff>
      <xdr:row>24</xdr:row>
      <xdr:rowOff>19050</xdr:rowOff>
    </xdr:to>
    <xdr:grpSp>
      <xdr:nvGrpSpPr>
        <xdr:cNvPr id="216" name="مجموعة 215">
          <a:extLst>
            <a:ext uri="{FF2B5EF4-FFF2-40B4-BE49-F238E27FC236}">
              <a16:creationId xmlns:a16="http://schemas.microsoft.com/office/drawing/2014/main" id="{0FA38FBC-68F7-4669-920A-9D32BAD15061}"/>
            </a:ext>
          </a:extLst>
        </xdr:cNvPr>
        <xdr:cNvGrpSpPr/>
      </xdr:nvGrpSpPr>
      <xdr:grpSpPr>
        <a:xfrm flipH="1">
          <a:off x="10910563650" y="3964967"/>
          <a:ext cx="4720024" cy="1197583"/>
          <a:chOff x="9434126" y="7174892"/>
          <a:chExt cx="4148524" cy="1197583"/>
        </a:xfrm>
      </xdr:grpSpPr>
      <xdr:grpSp>
        <xdr:nvGrpSpPr>
          <xdr:cNvPr id="217" name="مجموعة 216">
            <a:extLst>
              <a:ext uri="{FF2B5EF4-FFF2-40B4-BE49-F238E27FC236}">
                <a16:creationId xmlns:a16="http://schemas.microsoft.com/office/drawing/2014/main" id="{CD1F56E6-4339-49C4-BA4B-9E71C6AAB175}"/>
              </a:ext>
            </a:extLst>
          </xdr:cNvPr>
          <xdr:cNvGrpSpPr/>
        </xdr:nvGrpSpPr>
        <xdr:grpSpPr>
          <a:xfrm>
            <a:off x="9434126" y="7219374"/>
            <a:ext cx="4148524" cy="1153101"/>
            <a:chOff x="10339001" y="7219374"/>
            <a:chExt cx="4148524" cy="1153101"/>
          </a:xfrm>
        </xdr:grpSpPr>
        <xdr:grpSp>
          <xdr:nvGrpSpPr>
            <xdr:cNvPr id="219" name="تلميح الخبراء" descr="تلميح الخبراء">
              <a:extLst>
                <a:ext uri="{FF2B5EF4-FFF2-40B4-BE49-F238E27FC236}">
                  <a16:creationId xmlns:a16="http://schemas.microsoft.com/office/drawing/2014/main" id="{80AEA6E2-8705-424F-9170-D839A6C17C4E}"/>
                </a:ext>
              </a:extLst>
            </xdr:cNvPr>
            <xdr:cNvGrpSpPr/>
          </xdr:nvGrpSpPr>
          <xdr:grpSpPr>
            <a:xfrm>
              <a:off x="11734800" y="7219950"/>
              <a:ext cx="2752725" cy="1152525"/>
              <a:chOff x="8448675" y="2143125"/>
              <a:chExt cx="2419160" cy="1145492"/>
            </a:xfrm>
          </xdr:grpSpPr>
          <xdr:pic>
            <xdr:nvPicPr>
              <xdr:cNvPr id="221" name="الرسم 2" descr="بومة">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flipH="1">
                <a:off x="8448675" y="2170284"/>
                <a:ext cx="444647" cy="444647"/>
              </a:xfrm>
              <a:prstGeom prst="rect">
                <a:avLst/>
              </a:prstGeom>
            </xdr:spPr>
          </xdr:pic>
          <xdr:sp macro="" textlink="">
            <xdr:nvSpPr>
              <xdr:cNvPr id="222" name="الخطوة" descr="EXPERT TIP&#10;Each one of the Fruit and Type cells has a drop-down list where you can select different fruits. Try it, and watch the formulas automatically update.&#10;">
                <a:extLst>
                  <a:ext uri="{FF2B5EF4-FFF2-40B4-BE49-F238E27FC236}">
                    <a16:creationId xmlns:a16="http://schemas.microsoft.com/office/drawing/2014/main" id="{5CCDF5E6-5FC8-4BED-8317-7F1909950424}"/>
                  </a:ext>
                </a:extLst>
              </xdr:cNvPr>
              <xdr:cNvSpPr txBox="1"/>
            </xdr:nvSpPr>
            <xdr:spPr>
              <a:xfrm flipH="1">
                <a:off x="8782052" y="2143125"/>
                <a:ext cx="2085783" cy="1145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تلميح الخبراء</a:t>
                </a:r>
                <a:endParaRPr lang="en-US" sz="1200" b="1">
                  <a:solidFill>
                    <a:srgbClr val="ED7D31">
                      <a:lumMod val="60000"/>
                      <a:lumOff val="40000"/>
                    </a:srgbClr>
                  </a:solidFill>
                  <a:latin typeface="+mj-lt"/>
                  <a:ea typeface="Segoe UI" pitchFamily="34" charset="0"/>
                  <a:cs typeface="Tahoma" panose="020B0604030504040204" pitchFamily="34" charset="0"/>
                </a:endParaRPr>
              </a:p>
              <a:p>
                <a:pPr lvl="0" algn="r" rtl="1">
                  <a:defRPr/>
                </a:pPr>
                <a:r>
                  <a:rPr lang="ar" sz="1100" kern="0">
                    <a:solidFill>
                      <a:schemeClr val="bg2">
                        <a:lumMod val="25000"/>
                      </a:schemeClr>
                    </a:solidFill>
                    <a:ea typeface="Segoe UI" pitchFamily="34" charset="0"/>
                    <a:cs typeface="Tahoma" panose="020B0604030504040204" pitchFamily="34" charset="0"/>
                  </a:rPr>
                  <a:t>تحتوي كل واحدة من خلايا الفاكهة والنوع على قائمة منسدلة حيث يمكنك تحديد فاكهة مختلفة. جرب بنفسك، وشاهد تحديث الصيغ تلقائياً.</a:t>
                </a:r>
              </a:p>
            </xdr:txBody>
          </xdr:sp>
        </xdr:grpSp>
        <xdr:sp macro="" textlink="">
          <xdr:nvSpPr>
            <xdr:cNvPr id="220" name="شكل حر: الشكل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p>
          </xdr:txBody>
        </xdr:sp>
      </xdr:grpSp>
      <xdr:sp macro="" textlink="">
        <xdr:nvSpPr>
          <xdr:cNvPr id="218" name="شكل حر: الشكل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p>
        </xdr:txBody>
      </xdr:sp>
    </xdr:grpSp>
    <xdr:clientData/>
  </xdr:twoCellAnchor>
  <xdr:twoCellAnchor>
    <xdr:from>
      <xdr:col>0</xdr:col>
      <xdr:colOff>847724</xdr:colOff>
      <xdr:row>10</xdr:row>
      <xdr:rowOff>114300</xdr:rowOff>
    </xdr:from>
    <xdr:to>
      <xdr:col>1</xdr:col>
      <xdr:colOff>4171950</xdr:colOff>
      <xdr:row>20</xdr:row>
      <xdr:rowOff>133350</xdr:rowOff>
    </xdr:to>
    <xdr:grpSp>
      <xdr:nvGrpSpPr>
        <xdr:cNvPr id="223" name="مجموعة 222">
          <a:extLst>
            <a:ext uri="{FF2B5EF4-FFF2-40B4-BE49-F238E27FC236}">
              <a16:creationId xmlns:a16="http://schemas.microsoft.com/office/drawing/2014/main" id="{6D0DD3D5-631D-4EF0-B8E5-3D745F7C34F8}"/>
            </a:ext>
          </a:extLst>
        </xdr:cNvPr>
        <xdr:cNvGrpSpPr/>
      </xdr:nvGrpSpPr>
      <xdr:grpSpPr>
        <a:xfrm flipH="1">
          <a:off x="10920279150" y="2590800"/>
          <a:ext cx="4286251" cy="1924050"/>
          <a:chOff x="2733674" y="4524375"/>
          <a:chExt cx="4286251" cy="1924050"/>
        </a:xfrm>
      </xdr:grpSpPr>
      <xdr:sp macro="" textlink="">
        <xdr:nvSpPr>
          <xdr:cNvPr id="224" name="نص_الصيغة" descr="=SUMIF(C3:C14,C17,D3:D4)&#10;">
            <a:extLst>
              <a:ext uri="{FF2B5EF4-FFF2-40B4-BE49-F238E27FC236}">
                <a16:creationId xmlns:a16="http://schemas.microsoft.com/office/drawing/2014/main" id="{DCB35442-6216-467A-BC97-109CD36E5CB5}"/>
              </a:ext>
            </a:extLst>
          </xdr:cNvPr>
          <xdr:cNvSpPr txBox="1"/>
        </xdr:nvSpPr>
        <xdr:spPr>
          <a:xfrm flipH="1">
            <a:off x="3048000" y="5334000"/>
            <a:ext cx="39719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1" anchor="t"/>
          <a:lstStyle/>
          <a:p>
            <a:pPr marL="0" marR="0" rtl="1">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=SUMIF(C3:C14;C17;D3:D14)</a:t>
            </a:r>
          </a:p>
        </xdr:txBody>
      </xdr:sp>
      <xdr:grpSp>
        <xdr:nvGrpSpPr>
          <xdr:cNvPr id="225" name="مجموعة 224">
            <a:extLst>
              <a:ext uri="{FF2B5EF4-FFF2-40B4-BE49-F238E27FC236}">
                <a16:creationId xmlns:a16="http://schemas.microsoft.com/office/drawing/2014/main" id="{32BCCB5A-A2CD-497F-BF2F-258696BB6511}"/>
              </a:ext>
            </a:extLst>
          </xdr:cNvPr>
          <xdr:cNvGrpSpPr/>
        </xdr:nvGrpSpPr>
        <xdr:grpSpPr>
          <a:xfrm>
            <a:off x="4819650" y="4524375"/>
            <a:ext cx="1438275" cy="861227"/>
            <a:chOff x="4819650" y="4524375"/>
            <a:chExt cx="1438275" cy="861227"/>
          </a:xfrm>
        </xdr:grpSpPr>
        <xdr:sp macro="" textlink="">
          <xdr:nvSpPr>
            <xdr:cNvPr id="232" name="قوس الصيغة العلوي">
              <a:extLst>
                <a:ext uri="{FF2B5EF4-FFF2-40B4-BE49-F238E27FC236}">
                  <a16:creationId xmlns:a16="http://schemas.microsoft.com/office/drawing/2014/main" id="{30BE69DA-1183-4CDD-B940-0CD4E6DE5022}"/>
                </a:ext>
              </a:extLst>
            </xdr:cNvPr>
            <xdr:cNvSpPr/>
          </xdr:nvSpPr>
          <xdr:spPr>
            <a:xfrm rot="16200000" flipH="1">
              <a:off x="5102932"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33" name="نص_ وسيلة شرح الصيغة العلوية" descr="ما هو النطاق الذي تريد إلقاء نظرة عليه؟&#10;&#10;">
              <a:extLst>
                <a:ext uri="{FF2B5EF4-FFF2-40B4-BE49-F238E27FC236}">
                  <a16:creationId xmlns:a16="http://schemas.microsoft.com/office/drawing/2014/main" id="{FC61B534-CB59-4B54-8582-02E46A40345E}"/>
                </a:ext>
              </a:extLst>
            </xdr:cNvPr>
            <xdr:cNvSpPr txBox="1">
              <a:spLocks noChangeArrowheads="1"/>
            </xdr:cNvSpPr>
          </xdr:nvSpPr>
          <xdr:spPr bwMode="auto">
            <a:xfrm flipH="1">
              <a:off x="4819650" y="4524375"/>
              <a:ext cx="1438275"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ما هو النطاق الذي تريد إلقاء نظرة عليه؟</a:t>
              </a:r>
            </a:p>
          </xdr:txBody>
        </xdr:sp>
      </xdr:grpSp>
      <xdr:grpSp>
        <xdr:nvGrpSpPr>
          <xdr:cNvPr id="226" name="مجموعة 225">
            <a:extLst>
              <a:ext uri="{FF2B5EF4-FFF2-40B4-BE49-F238E27FC236}">
                <a16:creationId xmlns:a16="http://schemas.microsoft.com/office/drawing/2014/main" id="{6FA221CD-940C-4567-B73C-941BDC0DD971}"/>
              </a:ext>
            </a:extLst>
          </xdr:cNvPr>
          <xdr:cNvGrpSpPr/>
        </xdr:nvGrpSpPr>
        <xdr:grpSpPr>
          <a:xfrm>
            <a:off x="2733674" y="4524375"/>
            <a:ext cx="1933575" cy="861227"/>
            <a:chOff x="2733674" y="4524375"/>
            <a:chExt cx="1933575" cy="861227"/>
          </a:xfrm>
        </xdr:grpSpPr>
        <xdr:sp macro="" textlink="">
          <xdr:nvSpPr>
            <xdr:cNvPr id="230" name="قوس الصيغة العلوي">
              <a:extLst>
                <a:ext uri="{FF2B5EF4-FFF2-40B4-BE49-F238E27FC236}">
                  <a16:creationId xmlns:a16="http://schemas.microsoft.com/office/drawing/2014/main" id="{0F30C154-2F1F-4A51-9F6F-727C94B1953E}"/>
                </a:ext>
              </a:extLst>
            </xdr:cNvPr>
            <xdr:cNvSpPr/>
          </xdr:nvSpPr>
          <xdr:spPr>
            <a:xfrm rot="16200000" flipH="1">
              <a:off x="3427011" y="4707339"/>
              <a:ext cx="499277" cy="85725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31" name="نص_ وسيلة شرح الصيغة العلوية" descr="لكل تطابق تجده، ما هو النطاق الذي تريد الجمع فيه؟&#10;&#10;">
              <a:extLst>
                <a:ext uri="{FF2B5EF4-FFF2-40B4-BE49-F238E27FC236}">
                  <a16:creationId xmlns:a16="http://schemas.microsoft.com/office/drawing/2014/main" id="{DA6683AA-4CC0-471A-A679-B838AA382F23}"/>
                </a:ext>
              </a:extLst>
            </xdr:cNvPr>
            <xdr:cNvSpPr txBox="1">
              <a:spLocks noChangeArrowheads="1"/>
            </xdr:cNvSpPr>
          </xdr:nvSpPr>
          <xdr:spPr bwMode="auto">
            <a:xfrm flipH="1">
              <a:off x="2733674" y="4524375"/>
              <a:ext cx="1933575"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لكل تطابق تجده، ما هو النطاق الذي تريد الجمع فيه؟</a:t>
              </a:r>
            </a:p>
          </xdr:txBody>
        </xdr:sp>
      </xdr:grpSp>
      <xdr:grpSp>
        <xdr:nvGrpSpPr>
          <xdr:cNvPr id="227" name="المجموعة 226">
            <a:extLst>
              <a:ext uri="{FF2B5EF4-FFF2-40B4-BE49-F238E27FC236}">
                <a16:creationId xmlns:a16="http://schemas.microsoft.com/office/drawing/2014/main" id="{19ECD3AD-6B72-4E46-8FCA-D4C2D3D56A1B}"/>
              </a:ext>
            </a:extLst>
          </xdr:cNvPr>
          <xdr:cNvGrpSpPr/>
        </xdr:nvGrpSpPr>
        <xdr:grpSpPr>
          <a:xfrm>
            <a:off x="3600450" y="5610223"/>
            <a:ext cx="1838325" cy="838202"/>
            <a:chOff x="3600450" y="5610223"/>
            <a:chExt cx="1838325" cy="838202"/>
          </a:xfrm>
        </xdr:grpSpPr>
        <xdr:sp macro="" textlink="">
          <xdr:nvSpPr>
            <xdr:cNvPr id="228" name="قوس الصيغة السفلي">
              <a:extLst>
                <a:ext uri="{FF2B5EF4-FFF2-40B4-BE49-F238E27FC236}">
                  <a16:creationId xmlns:a16="http://schemas.microsoft.com/office/drawing/2014/main" id="{C4C24EC1-E28F-4850-952E-C211297DA95C}"/>
                </a:ext>
              </a:extLst>
            </xdr:cNvPr>
            <xdr:cNvSpPr/>
          </xdr:nvSpPr>
          <xdr:spPr>
            <a:xfrm rot="5400000" flipH="1">
              <a:off x="4265213"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229" name="نص_وسيلة شرح الصيغة السفلية" descr="ما هي القيمة (نص أو رقم) التي تريد البحث عنها؟&#10;&#10;">
              <a:extLst>
                <a:ext uri="{FF2B5EF4-FFF2-40B4-BE49-F238E27FC236}">
                  <a16:creationId xmlns:a16="http://schemas.microsoft.com/office/drawing/2014/main" id="{B9D27F57-F8C2-4EE5-AF26-66707B0E05AE}"/>
                </a:ext>
              </a:extLst>
            </xdr:cNvPr>
            <xdr:cNvSpPr txBox="1">
              <a:spLocks noChangeArrowheads="1"/>
            </xdr:cNvSpPr>
          </xdr:nvSpPr>
          <xdr:spPr bwMode="auto">
            <a:xfrm flipH="1">
              <a:off x="3600450" y="5962650"/>
              <a:ext cx="1838325" cy="485775"/>
            </a:xfrm>
            <a:prstGeom prst="rect">
              <a:avLst/>
            </a:prstGeom>
            <a:solidFill>
              <a:srgbClr val="E2F0D9"/>
            </a:solidFill>
            <a:ln w="9525">
              <a:noFill/>
              <a:miter lim="800000"/>
              <a:headEnd/>
              <a:tailEnd/>
            </a:ln>
          </xdr:spPr>
          <xdr:txBody>
            <a:bodyPr rot="0" vert="horz" wrap="square" lIns="91440" tIns="45720" rIns="91440" bIns="45720" rtlCol="1" anchor="t" anchorCtr="0">
              <a:noAutofit/>
            </a:bodyPr>
            <a:lstStyle/>
            <a:p>
              <a:pPr marL="0" marR="0" indent="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ما هي القيمة (نص أو رقم) التي تريد البحث عنها؟</a:t>
              </a:r>
            </a:p>
          </xdr:txBody>
        </xdr:sp>
      </xdr:grpSp>
    </xdr:grpSp>
    <xdr:clientData/>
  </xdr:twoCellAnchor>
  <xdr:twoCellAnchor>
    <xdr:from>
      <xdr:col>0</xdr:col>
      <xdr:colOff>371474</xdr:colOff>
      <xdr:row>26</xdr:row>
      <xdr:rowOff>9525</xdr:rowOff>
    </xdr:from>
    <xdr:to>
      <xdr:col>1</xdr:col>
      <xdr:colOff>5162554</xdr:colOff>
      <xdr:row>40</xdr:row>
      <xdr:rowOff>47625</xdr:rowOff>
    </xdr:to>
    <xdr:grpSp>
      <xdr:nvGrpSpPr>
        <xdr:cNvPr id="234" name="مجموعة 233">
          <a:extLst>
            <a:ext uri="{FF2B5EF4-FFF2-40B4-BE49-F238E27FC236}">
              <a16:creationId xmlns:a16="http://schemas.microsoft.com/office/drawing/2014/main" id="{728ED977-068D-4BDD-9900-E7A1A0E01A3A}"/>
            </a:ext>
          </a:extLst>
        </xdr:cNvPr>
        <xdr:cNvGrpSpPr/>
      </xdr:nvGrpSpPr>
      <xdr:grpSpPr>
        <a:xfrm flipH="1">
          <a:off x="10919288546" y="5534025"/>
          <a:ext cx="5753105" cy="2657475"/>
          <a:chOff x="3048000" y="2390775"/>
          <a:chExt cx="5762625" cy="2766074"/>
        </a:xfrm>
      </xdr:grpSpPr>
      <xdr:sp macro="" textlink="">
        <xdr:nvSpPr>
          <xdr:cNvPr id="235" name="قوس الصيغة السفلي">
            <a:extLst>
              <a:ext uri="{FF2B5EF4-FFF2-40B4-BE49-F238E27FC236}">
                <a16:creationId xmlns:a16="http://schemas.microsoft.com/office/drawing/2014/main" id="{453E28FE-C60F-4575-A21E-10394924F1B6}"/>
              </a:ext>
            </a:extLst>
          </xdr:cNvPr>
          <xdr:cNvSpPr/>
        </xdr:nvSpPr>
        <xdr:spPr>
          <a:xfrm rot="5400000" flipH="1">
            <a:off x="4021311" y="3649764"/>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236" name="قوس الصيغة السفلي">
            <a:extLst>
              <a:ext uri="{FF2B5EF4-FFF2-40B4-BE49-F238E27FC236}">
                <a16:creationId xmlns:a16="http://schemas.microsoft.com/office/drawing/2014/main" id="{B085E19B-EB18-43E6-AB6C-14F6D2AFA1F7}"/>
              </a:ext>
            </a:extLst>
          </xdr:cNvPr>
          <xdr:cNvSpPr/>
        </xdr:nvSpPr>
        <xdr:spPr>
          <a:xfrm rot="5400000" flipH="1">
            <a:off x="5694974"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237" name="قوس الصيغة العلوي">
            <a:extLst>
              <a:ext uri="{FF2B5EF4-FFF2-40B4-BE49-F238E27FC236}">
                <a16:creationId xmlns:a16="http://schemas.microsoft.com/office/drawing/2014/main" id="{603AD5F7-68AF-446A-BFE6-540AB775EE0B}"/>
              </a:ext>
            </a:extLst>
          </xdr:cNvPr>
          <xdr:cNvSpPr/>
        </xdr:nvSpPr>
        <xdr:spPr>
          <a:xfrm rot="16200000" flipH="1">
            <a:off x="3203218" y="3179354"/>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38" name="قوس الصيغة العلوي">
            <a:extLst>
              <a:ext uri="{FF2B5EF4-FFF2-40B4-BE49-F238E27FC236}">
                <a16:creationId xmlns:a16="http://schemas.microsoft.com/office/drawing/2014/main" id="{7F46ED5B-D0A5-48EA-9808-55AA0B5DCFB6}"/>
              </a:ext>
            </a:extLst>
          </xdr:cNvPr>
          <xdr:cNvSpPr/>
        </xdr:nvSpPr>
        <xdr:spPr>
          <a:xfrm rot="16200000" flipH="1">
            <a:off x="4865315"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39" name="قوس الصيغة العلوي">
            <a:extLst>
              <a:ext uri="{FF2B5EF4-FFF2-40B4-BE49-F238E27FC236}">
                <a16:creationId xmlns:a16="http://schemas.microsoft.com/office/drawing/2014/main" id="{2B008E04-D970-4F41-8120-26A572840D06}"/>
              </a:ext>
            </a:extLst>
          </xdr:cNvPr>
          <xdr:cNvSpPr/>
        </xdr:nvSpPr>
        <xdr:spPr>
          <a:xfrm rot="16200000" flipH="1">
            <a:off x="6765342" y="2945694"/>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40" name="نص_الصيغة" descr="=SUMIFS(H3:H14,F3:F14,F17,G3:G14,G17)&#10;&#10;">
            <a:extLst>
              <a:ext uri="{FF2B5EF4-FFF2-40B4-BE49-F238E27FC236}">
                <a16:creationId xmlns:a16="http://schemas.microsoft.com/office/drawing/2014/main" id="{E8F46D48-F21D-4E81-88FC-9A6B9FD03454}"/>
              </a:ext>
            </a:extLst>
          </xdr:cNvPr>
          <xdr:cNvSpPr txBox="1"/>
        </xdr:nvSpPr>
        <xdr:spPr>
          <a:xfrm flipH="1">
            <a:off x="3048000" y="3619500"/>
            <a:ext cx="5762625" cy="33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1" anchor="t"/>
          <a:lstStyle/>
          <a:p>
            <a:pPr rtl="1"/>
            <a:r>
              <a:rPr lang="en-US" sz="2000" b="0" i="0" u="none" strike="noStrike" baseline="0">
                <a:solidFill>
                  <a:schemeClr val="dk1"/>
                </a:solidFill>
                <a:latin typeface="Courier New" panose="02070309020205020404" pitchFamily="49" charset="0"/>
                <a:ea typeface="+mn-ea"/>
                <a:cs typeface="Courier New" panose="02070309020205020404" pitchFamily="49" charset="0"/>
              </a:rPr>
              <a:t>=SUMIFS(H3:H14;F3:F14;F17;G3:G14;G17)</a:t>
            </a:r>
          </a:p>
        </xdr:txBody>
      </xdr:sp>
      <xdr:sp macro="" textlink="">
        <xdr:nvSpPr>
          <xdr:cNvPr id="241" name="نص_ وسيلة شرح الصيغة العلوية" descr="ما هو النطاق الذي تريد جمعه؟&#10;&#10;">
            <a:extLst>
              <a:ext uri="{FF2B5EF4-FFF2-40B4-BE49-F238E27FC236}">
                <a16:creationId xmlns:a16="http://schemas.microsoft.com/office/drawing/2014/main" id="{5209C66A-5C8F-41D1-8DB2-9F8FD328852E}"/>
              </a:ext>
            </a:extLst>
          </xdr:cNvPr>
          <xdr:cNvSpPr txBox="1">
            <a:spLocks noChangeArrowheads="1"/>
          </xdr:cNvSpPr>
        </xdr:nvSpPr>
        <xdr:spPr bwMode="auto">
          <a:xfrm flipH="1">
            <a:off x="6528454"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ما هو النطاق الذي تريد جمعه؟</a:t>
            </a:r>
          </a:p>
        </xdr:txBody>
      </xdr:sp>
      <xdr:sp macro="" textlink="">
        <xdr:nvSpPr>
          <xdr:cNvPr id="242" name="نص_ وسيلة شرح الصيغة العلوية" descr="هذه هي معايير التطابق الأول&#10;&#10;">
            <a:extLst>
              <a:ext uri="{FF2B5EF4-FFF2-40B4-BE49-F238E27FC236}">
                <a16:creationId xmlns:a16="http://schemas.microsoft.com/office/drawing/2014/main" id="{286630EC-EA3F-4D50-8FFF-0ED884EEF636}"/>
              </a:ext>
            </a:extLst>
          </xdr:cNvPr>
          <xdr:cNvSpPr txBox="1">
            <a:spLocks noChangeArrowheads="1"/>
          </xdr:cNvSpPr>
        </xdr:nvSpPr>
        <xdr:spPr bwMode="auto">
          <a:xfrm flipH="1">
            <a:off x="4628436"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هذه هي معايير التطابق الأول</a:t>
            </a:r>
          </a:p>
        </xdr:txBody>
      </xdr:sp>
      <xdr:sp macro="" textlink="">
        <xdr:nvSpPr>
          <xdr:cNvPr id="243" name="نص_ وسيلة شرح الصيغة العلوية" descr="هذه هي معايير التطابق الثاني&#10;">
            <a:extLst>
              <a:ext uri="{FF2B5EF4-FFF2-40B4-BE49-F238E27FC236}">
                <a16:creationId xmlns:a16="http://schemas.microsoft.com/office/drawing/2014/main" id="{B3BB2D28-068F-4AB6-BFAC-B52FC9070566}"/>
              </a:ext>
            </a:extLst>
          </xdr:cNvPr>
          <xdr:cNvSpPr txBox="1">
            <a:spLocks noChangeArrowheads="1"/>
          </xdr:cNvSpPr>
        </xdr:nvSpPr>
        <xdr:spPr bwMode="auto">
          <a:xfrm flipH="1">
            <a:off x="3145057" y="2400689"/>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هذه هي معايير التطابق الثاني</a:t>
            </a:r>
          </a:p>
        </xdr:txBody>
      </xdr:sp>
      <xdr:sp macro="" textlink="">
        <xdr:nvSpPr>
          <xdr:cNvPr id="244" name="نص_وسيلة شرح الصيغة السفلية" descr="هذا هو النطاق الأول للبحث فيه على مطابقات&#10;&#10;">
            <a:extLst>
              <a:ext uri="{FF2B5EF4-FFF2-40B4-BE49-F238E27FC236}">
                <a16:creationId xmlns:a16="http://schemas.microsoft.com/office/drawing/2014/main" id="{0209406C-4AC6-478F-BBC6-E1CFFB3DE19A}"/>
              </a:ext>
            </a:extLst>
          </xdr:cNvPr>
          <xdr:cNvSpPr txBox="1">
            <a:spLocks noChangeArrowheads="1"/>
          </xdr:cNvSpPr>
        </xdr:nvSpPr>
        <xdr:spPr bwMode="auto">
          <a:xfrm flipH="1">
            <a:off x="5404563" y="4257675"/>
            <a:ext cx="1080092" cy="899174"/>
          </a:xfrm>
          <a:prstGeom prst="rect">
            <a:avLst/>
          </a:prstGeom>
          <a:solidFill>
            <a:srgbClr val="E2F0D9"/>
          </a:solidFill>
          <a:ln w="9525">
            <a:noFill/>
            <a:miter lim="800000"/>
            <a:headEnd/>
            <a:tailEnd/>
          </a:ln>
        </xdr:spPr>
        <xdr:txBody>
          <a:bodyPr rot="0" vert="horz" wrap="square" lIns="91440" tIns="45720" rIns="91440" bIns="45720" rtlCol="1" anchor="t" anchorCtr="0">
            <a:noAutofit/>
          </a:bodyPr>
          <a:lstStyle/>
          <a:p>
            <a:pPr marL="0" marR="0" indent="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هذا هو النطاق الأول للبحث فيه على مطابقات</a:t>
            </a:r>
          </a:p>
        </xdr:txBody>
      </xdr:sp>
      <xdr:sp macro="" textlink="">
        <xdr:nvSpPr>
          <xdr:cNvPr id="245" name="نص_وسيلة شرح الصيغة السفلية" descr="هذا هو النطاق الثاني للبحث فيه على مطابقات&#10;">
            <a:extLst>
              <a:ext uri="{FF2B5EF4-FFF2-40B4-BE49-F238E27FC236}">
                <a16:creationId xmlns:a16="http://schemas.microsoft.com/office/drawing/2014/main" id="{4ADCD88A-8CD3-475F-887A-B5D4E4DD79EB}"/>
              </a:ext>
            </a:extLst>
          </xdr:cNvPr>
          <xdr:cNvSpPr txBox="1">
            <a:spLocks noChangeArrowheads="1"/>
          </xdr:cNvSpPr>
        </xdr:nvSpPr>
        <xdr:spPr bwMode="auto">
          <a:xfrm flipH="1">
            <a:off x="3792180" y="4237847"/>
            <a:ext cx="1017237" cy="899174"/>
          </a:xfrm>
          <a:prstGeom prst="rect">
            <a:avLst/>
          </a:prstGeom>
          <a:solidFill>
            <a:srgbClr val="E2F0D9"/>
          </a:solidFill>
          <a:ln w="9525">
            <a:noFill/>
            <a:miter lim="800000"/>
            <a:headEnd/>
            <a:tailEnd/>
          </a:ln>
        </xdr:spPr>
        <xdr:txBody>
          <a:bodyPr rot="0" vert="horz" wrap="square" lIns="91440" tIns="45720" rIns="91440" bIns="45720" rtlCol="1" anchor="t" anchorCtr="0">
            <a:noAutofit/>
          </a:bodyPr>
          <a:lstStyle/>
          <a:p>
            <a:pPr marL="0" marR="0" indent="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هذا هو النطاق الثاني للبحث فيه على مطابقات</a:t>
            </a:r>
          </a:p>
        </xdr:txBody>
      </xdr:sp>
    </xdr:grpSp>
    <xdr:clientData/>
  </xdr:twoCellAnchor>
  <xdr:twoCellAnchor>
    <xdr:from>
      <xdr:col>0</xdr:col>
      <xdr:colOff>581025</xdr:colOff>
      <xdr:row>41</xdr:row>
      <xdr:rowOff>133350</xdr:rowOff>
    </xdr:from>
    <xdr:to>
      <xdr:col>1</xdr:col>
      <xdr:colOff>2456367</xdr:colOff>
      <xdr:row>44</xdr:row>
      <xdr:rowOff>92774</xdr:rowOff>
    </xdr:to>
    <xdr:sp macro="" textlink="">
      <xdr:nvSpPr>
        <xdr:cNvPr id="246" name="زر المزيد من التفاصيل" descr="انتقل إلى الأسفل لمزيد من التفاصيل">
          <a:hlinkClick xmlns:r="http://schemas.openxmlformats.org/officeDocument/2006/relationships" r:id="rId20"/>
          <a:extLst>
            <a:ext uri="{FF2B5EF4-FFF2-40B4-BE49-F238E27FC236}">
              <a16:creationId xmlns:a16="http://schemas.microsoft.com/office/drawing/2014/main" id="{1C7F4B40-82FF-4BFC-9078-CC27BDDEEE61}"/>
            </a:ext>
          </a:extLst>
        </xdr:cNvPr>
        <xdr:cNvSpPr/>
      </xdr:nvSpPr>
      <xdr:spPr>
        <a:xfrm flipH="1">
          <a:off x="581025" y="851535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انتقل إلى الأسفل لمزيد من التفاصيل</a:t>
          </a:r>
        </a:p>
      </xdr:txBody>
    </xdr:sp>
    <xdr:clientData/>
  </xdr:twoCellAnchor>
  <xdr:twoCellAnchor>
    <xdr:from>
      <xdr:col>0</xdr:col>
      <xdr:colOff>361950</xdr:colOff>
      <xdr:row>87</xdr:row>
      <xdr:rowOff>76200</xdr:rowOff>
    </xdr:from>
    <xdr:to>
      <xdr:col>1</xdr:col>
      <xdr:colOff>5248275</xdr:colOff>
      <xdr:row>111</xdr:row>
      <xdr:rowOff>45951</xdr:rowOff>
    </xdr:to>
    <xdr:grpSp>
      <xdr:nvGrpSpPr>
        <xdr:cNvPr id="247" name="مجموعة 246">
          <a:extLst>
            <a:ext uri="{FF2B5EF4-FFF2-40B4-BE49-F238E27FC236}">
              <a16:creationId xmlns:a16="http://schemas.microsoft.com/office/drawing/2014/main" id="{09584E15-D790-4D76-92D3-066AB32B2FF1}"/>
            </a:ext>
          </a:extLst>
        </xdr:cNvPr>
        <xdr:cNvGrpSpPr/>
      </xdr:nvGrpSpPr>
      <xdr:grpSpPr>
        <a:xfrm flipH="1">
          <a:off x="10919202825" y="16764000"/>
          <a:ext cx="5848350" cy="4436976"/>
          <a:chOff x="171450" y="17059274"/>
          <a:chExt cx="5734050" cy="4352925"/>
        </a:xfrm>
      </xdr:grpSpPr>
      <xdr:sp macro="" textlink="">
        <xdr:nvSpPr>
          <xdr:cNvPr id="248" name="نص_خلفية الجولة" descr="الخلفية">
            <a:extLst>
              <a:ext uri="{FF2B5EF4-FFF2-40B4-BE49-F238E27FC236}">
                <a16:creationId xmlns:a16="http://schemas.microsoft.com/office/drawing/2014/main" id="{8E61E9C5-65C2-4369-A6AF-D75ED603CD7B}"/>
              </a:ext>
            </a:extLst>
          </xdr:cNvPr>
          <xdr:cNvSpPr/>
        </xdr:nvSpPr>
        <xdr:spPr>
          <a:xfrm flipH="1">
            <a:off x="171450" y="17059274"/>
            <a:ext cx="5734050" cy="4352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49" name="نص_عنوان الجولة" descr="دالات شرطية إضافية">
            <a:extLst>
              <a:ext uri="{FF2B5EF4-FFF2-40B4-BE49-F238E27FC236}">
                <a16:creationId xmlns:a16="http://schemas.microsoft.com/office/drawing/2014/main" id="{D6264DB7-59DD-4D6A-AC81-38A448722642}"/>
              </a:ext>
            </a:extLst>
          </xdr:cNvPr>
          <xdr:cNvSpPr txBox="1"/>
        </xdr:nvSpPr>
        <xdr:spPr>
          <a:xfrm flipH="1">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دالات شرطية إضافية</a:t>
            </a:r>
          </a:p>
        </xdr:txBody>
      </xdr:sp>
      <xdr:cxnSp macro="">
        <xdr:nvCxnSpPr>
          <xdr:cNvPr id="250" name="نص_سطر الجولة 1" descr="سطر مزخرف">
            <a:extLst>
              <a:ext uri="{FF2B5EF4-FFF2-40B4-BE49-F238E27FC236}">
                <a16:creationId xmlns:a16="http://schemas.microsoft.com/office/drawing/2014/main" id="{0B4852DC-84E1-44B2-B534-237DF994C113}"/>
              </a:ext>
            </a:extLst>
          </xdr:cNvPr>
          <xdr:cNvCxnSpPr>
            <a:cxnSpLocks/>
          </xdr:cNvCxnSpPr>
        </xdr:nvCxnSpPr>
        <xdr:spPr>
          <a:xfrm flipH="1">
            <a:off x="374653" y="1773217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نص_سطر الجولة 2" descr="سطر مزخرف">
            <a:extLst>
              <a:ext uri="{FF2B5EF4-FFF2-40B4-BE49-F238E27FC236}">
                <a16:creationId xmlns:a16="http://schemas.microsoft.com/office/drawing/2014/main" id="{27456BD0-9A31-4908-B32F-01511DF14E1C}"/>
              </a:ext>
            </a:extLst>
          </xdr:cNvPr>
          <xdr:cNvCxnSpPr>
            <a:cxnSpLocks/>
          </xdr:cNvCxnSpPr>
        </xdr:nvCxnSpPr>
        <xdr:spPr>
          <a:xfrm flipH="1">
            <a:off x="374653" y="2061098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نص_مقدمة الجولة" descr="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10;&#10;SUMIF =SUMIF(C92:C103,C106,E92:E103) &#10;SUMIFS =SUMIFS(E92:E103,C92:C103,C106,D92:D103,D106) &#10;AVERAGEIF =AVERAGEIF(C92:C103,C106,E92:E103) &#10;AVERAGEIFS=AVERAGEIFS(E92:E103,C92:C103,C106,D92:D106,D106)&#10;COUNTIF =COUNTIF(C92:C103,C106)&#10;COUNTIFS =COUNTIFS(C92:C103,C106,D92:D103,D106) &#10;MAXIFS =MAXIFS(E92:E103,C92:C103,C106,D92:D103,D106)&#10;MINIFS =MINIFS(E92:E103,C92:C103,C106,D92:D103,D106)&#10;&#10;">
            <a:extLst>
              <a:ext uri="{FF2B5EF4-FFF2-40B4-BE49-F238E27FC236}">
                <a16:creationId xmlns:a16="http://schemas.microsoft.com/office/drawing/2014/main" id="{1BA6A4CB-C9C6-48DA-B0EE-C70E988CD89B}"/>
              </a:ext>
            </a:extLst>
          </xdr:cNvPr>
          <xdr:cNvSpPr txBox="1"/>
        </xdr:nvSpPr>
        <xdr:spPr>
          <a:xfrm flipH="1">
            <a:off x="381163" y="17765893"/>
            <a:ext cx="5257638" cy="2780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لقد رأيت SUMIF وSUMIFS وCOUNTIF وCOUNTIFS بالفعل. الآن يمكنك التجربة بنفسك باستخدام دالات أخرى، مثل </a:t>
            </a:r>
            <a:r>
              <a:rPr lang="ar"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AVERAGEIF/S</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 و</a:t>
            </a:r>
            <a:r>
              <a:rPr lang="ar"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MAXIFS</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 و</a:t>
            </a:r>
            <a:r>
              <a:rPr lang="ar"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MINIFS. </a:t>
            </a: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تتم هيكلة الجميع بالطريقة نفسها، وبالتالي، فبمجرد كتابة صيغة واحدة، ما عليك سوى استبدال اسم الدالة بالخيار الذي تريده. لقد كتبنا كافة الدالات التي ستحتاج إليها للخلية E106، حيث يمكنك نسخها/لصقها، أو محاولة كتابتها بنفسك لممارسة.</a:t>
            </a:r>
          </a:p>
          <a:p>
            <a:pPr marL="0" marR="0" lvl="0" indent="0" algn="r" defTabSz="914400" rtl="1" eaLnBrk="1" fontAlgn="auto" latinLnBrk="0" hangingPunct="1">
              <a:lnSpc>
                <a:spcPct val="100000"/>
              </a:lnSpc>
              <a:spcBef>
                <a:spcPts val="0"/>
              </a:spcBef>
              <a:spcAft>
                <a:spcPts val="0"/>
              </a:spcAft>
              <a:buClrTx/>
              <a:buSzTx/>
              <a:buFontTx/>
              <a:buNone/>
              <a:tabLst/>
              <a:defRPr/>
            </a:pPr>
            <a:endPar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a:p>
            <a:pPr marL="0" marR="0" lvl="0"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SUMIF 	=SUMIF(C92:C103;C106;E92:E103)  </a:t>
            </a:r>
          </a:p>
          <a:p>
            <a:pPr marL="0" marR="0" lvl="0"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SUMIFS 	 =SUMIFS(E92:E103;C92:C103;C106;D92:D103;D106)  </a:t>
            </a:r>
          </a:p>
          <a:p>
            <a:pPr marL="0" marR="0" lvl="0"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AVERAGEIF 	=AVERAGEIF(C92:C103;C106;E92:E103)  </a:t>
            </a:r>
          </a:p>
          <a:p>
            <a:pPr marL="0" marR="0" lvl="0"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AVERAGEIFS	=AVERAGEIFS(E92:E103;C92:C103;C106;D92:D92;D106) </a:t>
            </a:r>
          </a:p>
          <a:p>
            <a:pPr marL="0" marR="0" lvl="0"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COUNTIF 	=COUNTIF(C92:C103;C106) </a:t>
            </a:r>
          </a:p>
          <a:p>
            <a:pPr marL="0" marR="0" lvl="0"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COUNTIFS 	=COUNTIFS(C92:C103;C106;D92:D103;D106)  </a:t>
            </a:r>
          </a:p>
          <a:p>
            <a:pPr marL="0" marR="0" lvl="0"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MAXIFS 	=MAXIFS(E92:E103;C92:C103;C106;D92:D103;D106) </a:t>
            </a:r>
          </a:p>
          <a:p>
            <a:pPr marL="0" marR="0" lvl="0" indent="0" algn="r" defTabSz="914400" rtl="1" eaLnBrk="1" fontAlgn="auto" latinLnBrk="0" hangingPunct="1">
              <a:lnSpc>
                <a:spcPct val="100000"/>
              </a:lnSpc>
              <a:spcBef>
                <a:spcPts val="0"/>
              </a:spcBef>
              <a:spcAft>
                <a:spcPts val="0"/>
              </a:spcAft>
              <a:buClrTx/>
              <a:buSzTx/>
              <a:buFontTx/>
              <a:buNone/>
              <a:tabLst/>
              <a:defRPr/>
            </a:pPr>
            <a:r>
              <a:rPr lang="en-US" sz="1100" b="1"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MINIFS 	=MINIFS(E92:E103;C92:C103;C106;D92:D103;D106) </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grpSp>
    <xdr:clientData/>
  </xdr:twoCellAnchor>
  <xdr:twoCellAnchor editAs="absolute">
    <xdr:from>
      <xdr:col>1</xdr:col>
      <xdr:colOff>3629025</xdr:colOff>
      <xdr:row>107</xdr:row>
      <xdr:rowOff>114300</xdr:rowOff>
    </xdr:from>
    <xdr:to>
      <xdr:col>1</xdr:col>
      <xdr:colOff>4932225</xdr:colOff>
      <xdr:row>109</xdr:row>
      <xdr:rowOff>68749</xdr:rowOff>
    </xdr:to>
    <xdr:sp macro="" textlink="">
      <xdr:nvSpPr>
        <xdr:cNvPr id="254" name="الزر_التالي" descr="التقدم إلى الورقة التالية">
          <a:hlinkClick xmlns:r="http://schemas.openxmlformats.org/officeDocument/2006/relationships" r:id="rId3" tooltip="انقر هنا للتقدم إلى الورقة التالية"/>
          <a:extLst>
            <a:ext uri="{FF2B5EF4-FFF2-40B4-BE49-F238E27FC236}">
              <a16:creationId xmlns:a16="http://schemas.microsoft.com/office/drawing/2014/main" id="{9817BA26-3F9D-4337-96B5-9647A836BC8B}"/>
            </a:ext>
          </a:extLst>
        </xdr:cNvPr>
        <xdr:cNvSpPr/>
      </xdr:nvSpPr>
      <xdr:spPr>
        <a:xfrm flipH="1">
          <a:off x="10919518875" y="20545425"/>
          <a:ext cx="1303200" cy="3163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fPrintsWithSheet="0"/>
  </xdr:twoCellAnchor>
  <xdr:twoCellAnchor editAs="absolute">
    <xdr:from>
      <xdr:col>0</xdr:col>
      <xdr:colOff>389325</xdr:colOff>
      <xdr:row>45</xdr:row>
      <xdr:rowOff>133351</xdr:rowOff>
    </xdr:from>
    <xdr:to>
      <xdr:col>1</xdr:col>
      <xdr:colOff>5219700</xdr:colOff>
      <xdr:row>86</xdr:row>
      <xdr:rowOff>171451</xdr:rowOff>
    </xdr:to>
    <xdr:sp macro="" textlink="">
      <xdr:nvSpPr>
        <xdr:cNvPr id="255" name="الخلفية" descr="الخلفية">
          <a:extLst>
            <a:ext uri="{FF2B5EF4-FFF2-40B4-BE49-F238E27FC236}">
              <a16:creationId xmlns:a16="http://schemas.microsoft.com/office/drawing/2014/main" id="{59826756-6574-4AD7-87F3-D5BE531411BB}"/>
            </a:ext>
          </a:extLst>
        </xdr:cNvPr>
        <xdr:cNvSpPr/>
      </xdr:nvSpPr>
      <xdr:spPr>
        <a:xfrm flipH="1">
          <a:off x="10919231400" y="9182101"/>
          <a:ext cx="5792400" cy="74961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49</xdr:row>
      <xdr:rowOff>38100</xdr:rowOff>
    </xdr:from>
    <xdr:to>
      <xdr:col>1</xdr:col>
      <xdr:colOff>4924425</xdr:colOff>
      <xdr:row>49</xdr:row>
      <xdr:rowOff>38100</xdr:rowOff>
    </xdr:to>
    <xdr:cxnSp macro="">
      <xdr:nvCxnSpPr>
        <xdr:cNvPr id="256" name="سطر سفلي" descr="سطر مزخرف">
          <a:extLst>
            <a:ext uri="{FF2B5EF4-FFF2-40B4-BE49-F238E27FC236}">
              <a16:creationId xmlns:a16="http://schemas.microsoft.com/office/drawing/2014/main" id="{B4FBAF4C-2650-48DA-8BD4-CB9BC3AD86EB}"/>
            </a:ext>
          </a:extLst>
        </xdr:cNvPr>
        <xdr:cNvCxnSpPr>
          <a:cxnSpLocks/>
        </xdr:cNvCxnSpPr>
      </xdr:nvCxnSpPr>
      <xdr:spPr>
        <a:xfrm flipH="1">
          <a:off x="10919526675" y="9810750"/>
          <a:ext cx="53387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46</xdr:row>
      <xdr:rowOff>38100</xdr:rowOff>
    </xdr:from>
    <xdr:to>
      <xdr:col>1</xdr:col>
      <xdr:colOff>4495800</xdr:colOff>
      <xdr:row>48</xdr:row>
      <xdr:rowOff>142942</xdr:rowOff>
    </xdr:to>
    <xdr:sp macro="" textlink="">
      <xdr:nvSpPr>
        <xdr:cNvPr id="257" name="الخطوة" descr="الدالات الشرطية - COUNTIF&#10;">
          <a:extLst>
            <a:ext uri="{FF2B5EF4-FFF2-40B4-BE49-F238E27FC236}">
              <a16:creationId xmlns:a16="http://schemas.microsoft.com/office/drawing/2014/main" id="{4F5A7CA7-2EE0-4987-96BE-26C1F64A94A4}"/>
            </a:ext>
          </a:extLst>
        </xdr:cNvPr>
        <xdr:cNvSpPr txBox="1"/>
      </xdr:nvSpPr>
      <xdr:spPr>
        <a:xfrm flipH="1">
          <a:off x="10919955300" y="9267825"/>
          <a:ext cx="4910124" cy="466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الدالات الشرطية - COUNTIF</a:t>
          </a:r>
        </a:p>
      </xdr:txBody>
    </xdr:sp>
    <xdr:clientData/>
  </xdr:twoCellAnchor>
  <xdr:twoCellAnchor editAs="absolute">
    <xdr:from>
      <xdr:col>0</xdr:col>
      <xdr:colOff>547701</xdr:colOff>
      <xdr:row>82</xdr:row>
      <xdr:rowOff>87842</xdr:rowOff>
    </xdr:from>
    <xdr:to>
      <xdr:col>1</xdr:col>
      <xdr:colOff>4914900</xdr:colOff>
      <xdr:row>82</xdr:row>
      <xdr:rowOff>87842</xdr:rowOff>
    </xdr:to>
    <xdr:cxnSp macro="">
      <xdr:nvCxnSpPr>
        <xdr:cNvPr id="258" name="سطر سفلي" descr="سطر مزخرف">
          <a:extLst>
            <a:ext uri="{FF2B5EF4-FFF2-40B4-BE49-F238E27FC236}">
              <a16:creationId xmlns:a16="http://schemas.microsoft.com/office/drawing/2014/main" id="{C9452A63-9B04-434E-9908-862D1547B71D}"/>
            </a:ext>
          </a:extLst>
        </xdr:cNvPr>
        <xdr:cNvCxnSpPr>
          <a:cxnSpLocks/>
        </xdr:cNvCxnSpPr>
      </xdr:nvCxnSpPr>
      <xdr:spPr>
        <a:xfrm flipH="1">
          <a:off x="10919536200" y="15870767"/>
          <a:ext cx="5329224"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49</xdr:row>
      <xdr:rowOff>161925</xdr:rowOff>
    </xdr:from>
    <xdr:to>
      <xdr:col>1</xdr:col>
      <xdr:colOff>4838700</xdr:colOff>
      <xdr:row>53</xdr:row>
      <xdr:rowOff>85725</xdr:rowOff>
    </xdr:to>
    <xdr:sp macro="" textlink="">
      <xdr:nvSpPr>
        <xdr:cNvPr id="259" name="إضافة مقدمة الأرقام" descr="إن الصيغتان COUNTIF وCOUNTIFS يتيحان لك عدّ القيم في نطاق استناداً إلى معايير تحددها أنت. وهما مختلفتين قليلاً عن الدالتين IF وIFS، وذلك في أنها لا تحتوي إلا على المعايير ونطاق المعايير ولا تقيّم نطاقاً واحداً، ومن ثم عن دالة أخرى للتلخيص.&#10;&#10;">
          <a:extLst>
            <a:ext uri="{FF2B5EF4-FFF2-40B4-BE49-F238E27FC236}">
              <a16:creationId xmlns:a16="http://schemas.microsoft.com/office/drawing/2014/main" id="{FD69C356-A3A0-4ACC-9509-4D5AB4574A46}"/>
            </a:ext>
          </a:extLst>
        </xdr:cNvPr>
        <xdr:cNvSpPr txBox="1"/>
      </xdr:nvSpPr>
      <xdr:spPr>
        <a:xfrm flipH="1">
          <a:off x="10919612400" y="9934575"/>
          <a:ext cx="523875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kern="1200">
              <a:solidFill>
                <a:schemeClr val="tx1">
                  <a:lumMod val="75000"/>
                  <a:lumOff val="25000"/>
                </a:schemeClr>
              </a:solidFill>
              <a:latin typeface="Tahoma" panose="020B0604030504040204" pitchFamily="34" charset="0"/>
              <a:ea typeface="+mn-ea"/>
              <a:cs typeface="Tahoma" panose="020B0604030504040204" pitchFamily="34" charset="0"/>
            </a:rPr>
            <a:t>تتيح لك </a:t>
          </a:r>
          <a:r>
            <a:rPr lang="ar" sz="1100" b="1" kern="1200">
              <a:solidFill>
                <a:schemeClr val="tx1">
                  <a:lumMod val="75000"/>
                  <a:lumOff val="25000"/>
                </a:schemeClr>
              </a:solidFill>
              <a:latin typeface="Tahoma" panose="020B0604030504040204" pitchFamily="34" charset="0"/>
              <a:ea typeface="+mn-ea"/>
              <a:cs typeface="Tahoma" panose="020B0604030504040204" pitchFamily="34" charset="0"/>
            </a:rPr>
            <a:t>COUNTIF</a:t>
          </a:r>
          <a:r>
            <a:rPr lang="ar" sz="1100" kern="1200" baseline="0">
              <a:solidFill>
                <a:schemeClr val="tx1">
                  <a:lumMod val="75000"/>
                  <a:lumOff val="25000"/>
                </a:schemeClr>
              </a:solidFill>
              <a:latin typeface="Tahoma" panose="020B0604030504040204" pitchFamily="34" charset="0"/>
              <a:ea typeface="+mn-ea"/>
              <a:cs typeface="Tahoma" panose="020B0604030504040204" pitchFamily="34" charset="0"/>
            </a:rPr>
            <a:t> </a:t>
          </a:r>
          <a:r>
            <a:rPr lang="ar" sz="1100" b="1" kern="1200" baseline="0">
              <a:solidFill>
                <a:schemeClr val="tx1">
                  <a:lumMod val="75000"/>
                  <a:lumOff val="25000"/>
                </a:schemeClr>
              </a:solidFill>
              <a:latin typeface="Tahoma" panose="020B0604030504040204" pitchFamily="34" charset="0"/>
              <a:ea typeface="+mn-ea"/>
              <a:cs typeface="Tahoma" panose="020B0604030504040204" pitchFamily="34" charset="0"/>
            </a:rPr>
            <a:t> </a:t>
          </a:r>
          <a:r>
            <a:rPr lang="ar" sz="1100" b="0" kern="1200" baseline="0">
              <a:solidFill>
                <a:schemeClr val="tx1">
                  <a:lumMod val="75000"/>
                  <a:lumOff val="25000"/>
                </a:schemeClr>
              </a:solidFill>
              <a:latin typeface="Tahoma" panose="020B0604030504040204" pitchFamily="34" charset="0"/>
              <a:ea typeface="+mn-ea"/>
              <a:cs typeface="Tahoma" panose="020B0604030504040204" pitchFamily="34" charset="0"/>
            </a:rPr>
            <a:t>و</a:t>
          </a:r>
          <a:r>
            <a:rPr lang="ar" sz="1100" kern="1200" baseline="0">
              <a:solidFill>
                <a:schemeClr val="tx1">
                  <a:lumMod val="75000"/>
                  <a:lumOff val="25000"/>
                </a:schemeClr>
              </a:solidFill>
              <a:latin typeface="Tahoma" panose="020B0604030504040204" pitchFamily="34" charset="0"/>
              <a:ea typeface="+mn-ea"/>
              <a:cs typeface="Tahoma" panose="020B0604030504040204" pitchFamily="34" charset="0"/>
            </a:rPr>
            <a:t> </a:t>
          </a:r>
          <a:r>
            <a:rPr lang="ar" sz="1100" b="1" kern="1200" baseline="0">
              <a:solidFill>
                <a:schemeClr val="tx1">
                  <a:lumMod val="75000"/>
                  <a:lumOff val="25000"/>
                </a:schemeClr>
              </a:solidFill>
              <a:latin typeface="Tahoma" panose="020B0604030504040204" pitchFamily="34" charset="0"/>
              <a:ea typeface="+mn-ea"/>
              <a:cs typeface="Tahoma" panose="020B0604030504040204" pitchFamily="34" charset="0"/>
            </a:rPr>
            <a:t>COUNTIFS</a:t>
          </a:r>
          <a:r>
            <a:rPr lang="ar" sz="1100" kern="1200" baseline="0">
              <a:solidFill>
                <a:schemeClr val="tx1">
                  <a:lumMod val="75000"/>
                  <a:lumOff val="25000"/>
                </a:schemeClr>
              </a:solidFill>
              <a:latin typeface="Tahoma" panose="020B0604030504040204" pitchFamily="34" charset="0"/>
              <a:ea typeface="+mn-ea"/>
              <a:cs typeface="Tahoma" panose="020B0604030504040204" pitchFamily="34" charset="0"/>
            </a:rPr>
            <a:t> حساب عدد القيم في نطاق استناداً إلى المعايير التي تحددها. تكون </a:t>
          </a:r>
          <a:r>
            <a:rPr lang="ar" sz="1100" kern="1200">
              <a:solidFill>
                <a:schemeClr val="tx1">
                  <a:lumMod val="75000"/>
                  <a:lumOff val="25000"/>
                </a:schemeClr>
              </a:solidFill>
              <a:latin typeface="Tahoma" panose="020B0604030504040204" pitchFamily="34" charset="0"/>
              <a:ea typeface="+mn-ea"/>
              <a:cs typeface="Tahoma" panose="020B0604030504040204" pitchFamily="34" charset="0"/>
            </a:rPr>
            <a:t>مختلفة قليلاً عن </a:t>
          </a:r>
          <a:r>
            <a:rPr lang="ar" sz="1100" kern="1200" baseline="0">
              <a:solidFill>
                <a:schemeClr val="tx1">
                  <a:lumMod val="75000"/>
                  <a:lumOff val="25000"/>
                </a:schemeClr>
              </a:solidFill>
              <a:latin typeface="Tahoma" panose="020B0604030504040204" pitchFamily="34" charset="0"/>
              <a:ea typeface="+mn-ea"/>
              <a:cs typeface="Tahoma" panose="020B0604030504040204" pitchFamily="34" charset="0"/>
            </a:rPr>
            <a:t>دالتي IF وIFS، في أن لديها نطاق معايير فقط، ومعايير. لا تقيم نطاق واحد، وتبحث في نطاق آخر للتلخيص.</a:t>
          </a: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editAs="absolute">
    <xdr:from>
      <xdr:col>0</xdr:col>
      <xdr:colOff>533401</xdr:colOff>
      <xdr:row>53</xdr:row>
      <xdr:rowOff>152400</xdr:rowOff>
    </xdr:from>
    <xdr:to>
      <xdr:col>1</xdr:col>
      <xdr:colOff>4991099</xdr:colOff>
      <xdr:row>56</xdr:row>
      <xdr:rowOff>177107</xdr:rowOff>
    </xdr:to>
    <xdr:grpSp>
      <xdr:nvGrpSpPr>
        <xdr:cNvPr id="7" name="المجموعة 6">
          <a:extLst>
            <a:ext uri="{FF2B5EF4-FFF2-40B4-BE49-F238E27FC236}">
              <a16:creationId xmlns:a16="http://schemas.microsoft.com/office/drawing/2014/main" id="{C3BD1A07-2431-425E-86AC-0511A2AC3600}"/>
            </a:ext>
          </a:extLst>
        </xdr:cNvPr>
        <xdr:cNvGrpSpPr/>
      </xdr:nvGrpSpPr>
      <xdr:grpSpPr>
        <a:xfrm flipH="1">
          <a:off x="10919460001" y="10648950"/>
          <a:ext cx="5419723" cy="567632"/>
          <a:chOff x="571500" y="10820400"/>
          <a:chExt cx="5614814" cy="596207"/>
        </a:xfrm>
      </xdr:grpSpPr>
      <xdr:sp macro="" textlink="">
        <xdr:nvSpPr>
          <xdr:cNvPr id="261" name="نص_ الخطوة" descr="حدد الخلية D64 واكتب =COUNTIF(C50:C61,C64). COUNTIF مبنية هكذا:&#10;&#10;">
            <a:extLst>
              <a:ext uri="{FF2B5EF4-FFF2-40B4-BE49-F238E27FC236}">
                <a16:creationId xmlns:a16="http://schemas.microsoft.com/office/drawing/2014/main" id="{5A24FD00-3141-43E5-BFED-59C3725C0920}"/>
              </a:ext>
            </a:extLst>
          </xdr:cNvPr>
          <xdr:cNvSpPr txBox="1"/>
        </xdr:nvSpPr>
        <xdr:spPr>
          <a:xfrm flipH="1">
            <a:off x="981857" y="10862358"/>
            <a:ext cx="5204457"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حدد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D64</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واكتب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=COUNTIF(C50:C61;C64)</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تتم هيكلة</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COUNTIF</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كما يلي:</a:t>
            </a:r>
          </a:p>
        </xdr:txBody>
      </xdr:sp>
      <xdr:sp macro="" textlink="">
        <xdr:nvSpPr>
          <xdr:cNvPr id="262" name="شكل_الخطوة" descr="1">
            <a:extLst>
              <a:ext uri="{FF2B5EF4-FFF2-40B4-BE49-F238E27FC236}">
                <a16:creationId xmlns:a16="http://schemas.microsoft.com/office/drawing/2014/main" id="{99FDB969-22B0-46E6-8435-35519D649D90}"/>
              </a:ext>
            </a:extLst>
          </xdr:cNvPr>
          <xdr:cNvSpPr/>
        </xdr:nvSpPr>
        <xdr:spPr>
          <a:xfrm flipH="1">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clientData/>
  </xdr:twoCellAnchor>
  <xdr:twoCellAnchor editAs="absolute">
    <xdr:from>
      <xdr:col>1</xdr:col>
      <xdr:colOff>3600450</xdr:colOff>
      <xdr:row>83</xdr:row>
      <xdr:rowOff>49741</xdr:rowOff>
    </xdr:from>
    <xdr:to>
      <xdr:col>1</xdr:col>
      <xdr:colOff>4903650</xdr:colOff>
      <xdr:row>85</xdr:row>
      <xdr:rowOff>16815</xdr:rowOff>
    </xdr:to>
    <xdr:sp macro="" textlink="">
      <xdr:nvSpPr>
        <xdr:cNvPr id="263" name="الزر_التالي" descr="التقدم إلى الورقة التالية">
          <a:hlinkClick xmlns:r="http://schemas.openxmlformats.org/officeDocument/2006/relationships" r:id="rId3" tooltip="انقر هنا للتقدم إلى ورقة العمل التالية"/>
          <a:extLst>
            <a:ext uri="{FF2B5EF4-FFF2-40B4-BE49-F238E27FC236}">
              <a16:creationId xmlns:a16="http://schemas.microsoft.com/office/drawing/2014/main" id="{D6D142FA-1F43-4673-883C-435BE4A5BB46}"/>
            </a:ext>
          </a:extLst>
        </xdr:cNvPr>
        <xdr:cNvSpPr/>
      </xdr:nvSpPr>
      <xdr:spPr>
        <a:xfrm flipH="1">
          <a:off x="10919547450" y="16013641"/>
          <a:ext cx="1303200" cy="3290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xdr:twoCellAnchor>
  <xdr:twoCellAnchor editAs="absolute">
    <xdr:from>
      <xdr:col>0</xdr:col>
      <xdr:colOff>577249</xdr:colOff>
      <xdr:row>66</xdr:row>
      <xdr:rowOff>47627</xdr:rowOff>
    </xdr:from>
    <xdr:to>
      <xdr:col>1</xdr:col>
      <xdr:colOff>4876801</xdr:colOff>
      <xdr:row>70</xdr:row>
      <xdr:rowOff>57152</xdr:rowOff>
    </xdr:to>
    <xdr:grpSp>
      <xdr:nvGrpSpPr>
        <xdr:cNvPr id="6" name="المجموعة 5">
          <a:extLst>
            <a:ext uri="{FF2B5EF4-FFF2-40B4-BE49-F238E27FC236}">
              <a16:creationId xmlns:a16="http://schemas.microsoft.com/office/drawing/2014/main" id="{0DA1DA82-7F55-47D3-8AE9-D782CB1AADE4}"/>
            </a:ext>
          </a:extLst>
        </xdr:cNvPr>
        <xdr:cNvGrpSpPr/>
      </xdr:nvGrpSpPr>
      <xdr:grpSpPr>
        <a:xfrm flipH="1">
          <a:off x="10919574299" y="12934952"/>
          <a:ext cx="5261577" cy="733425"/>
          <a:chOff x="613292" y="13230225"/>
          <a:chExt cx="5014898" cy="770346"/>
        </a:xfrm>
      </xdr:grpSpPr>
      <xdr:sp macro="" textlink="">
        <xdr:nvSpPr>
          <xdr:cNvPr id="265" name="نص_ الخطوة" descr="إن COUNTIFS هو نفسه SUMIF، ولكنه يتيح لك استخدام معايير متعددة. لذا في هذا المثال، يمكنك البحث عن الفاكهة والنوع بدلاً من البحث عن الفاكهة فقط. حدد الخلية H64 واكتب =COUNTIFS(F50:F61,F64,G50:G61,G64). يتم بناء SUMIFS هكذا:&#10;&#10;&#10;">
            <a:extLst>
              <a:ext uri="{FF2B5EF4-FFF2-40B4-BE49-F238E27FC236}">
                <a16:creationId xmlns:a16="http://schemas.microsoft.com/office/drawing/2014/main" id="{FA9C0F1D-374A-480D-BD12-25CF4F963447}"/>
              </a:ext>
            </a:extLst>
          </xdr:cNvPr>
          <xdr:cNvSpPr txBox="1"/>
        </xdr:nvSpPr>
        <xdr:spPr>
          <a:xfrm flipH="1">
            <a:off x="981857" y="13272183"/>
            <a:ext cx="4646333" cy="728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r" rtl="1"/>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الدالة</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COUNTIFS</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هي نفس الدالة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SUMIF،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ولكنها تتيح لك استخدام معايير متعددة. وبالتالي في هذا المثال، يمكنك البحث عن الفاكهة والنوع، بدلاً من الفاكهة فقط. حدد الخلية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H64</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واكتب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=COUNTIFS(F50:F61;F64;G50:G61;G64)</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تتم هيكلة </a:t>
            </a:r>
            <a:r>
              <a:rPr lang="en-US"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COUNTIFS </a:t>
            </a:r>
            <a:r>
              <a:rPr lang="ar-SA" sz="1100" b="0"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كما يلي:</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6" name="شكل_الخطوة" descr="2">
            <a:extLst>
              <a:ext uri="{FF2B5EF4-FFF2-40B4-BE49-F238E27FC236}">
                <a16:creationId xmlns:a16="http://schemas.microsoft.com/office/drawing/2014/main" id="{01BEDDF5-7F0E-40BD-AB8B-30CD8617713C}"/>
              </a:ext>
            </a:extLst>
          </xdr:cNvPr>
          <xdr:cNvSpPr/>
        </xdr:nvSpPr>
        <xdr:spPr>
          <a:xfrm flipH="1">
            <a:off x="613292" y="13230225"/>
            <a:ext cx="332828"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clientData/>
  </xdr:twoCellAnchor>
  <xdr:twoCellAnchor>
    <xdr:from>
      <xdr:col>0</xdr:col>
      <xdr:colOff>628650</xdr:colOff>
      <xdr:row>56</xdr:row>
      <xdr:rowOff>66674</xdr:rowOff>
    </xdr:from>
    <xdr:to>
      <xdr:col>1</xdr:col>
      <xdr:colOff>4162425</xdr:colOff>
      <xdr:row>65</xdr:row>
      <xdr:rowOff>180974</xdr:rowOff>
    </xdr:to>
    <xdr:grpSp>
      <xdr:nvGrpSpPr>
        <xdr:cNvPr id="267" name="المجموعة 266">
          <a:extLst>
            <a:ext uri="{FF2B5EF4-FFF2-40B4-BE49-F238E27FC236}">
              <a16:creationId xmlns:a16="http://schemas.microsoft.com/office/drawing/2014/main" id="{E8932D15-E179-42A0-91A2-EDDEA215314C}"/>
            </a:ext>
          </a:extLst>
        </xdr:cNvPr>
        <xdr:cNvGrpSpPr/>
      </xdr:nvGrpSpPr>
      <xdr:grpSpPr>
        <a:xfrm flipH="1">
          <a:off x="10920288675" y="11106149"/>
          <a:ext cx="4495800" cy="1781175"/>
          <a:chOff x="2524125" y="4524375"/>
          <a:chExt cx="4495800" cy="1835701"/>
        </a:xfrm>
      </xdr:grpSpPr>
      <xdr:sp macro="" textlink="">
        <xdr:nvSpPr>
          <xdr:cNvPr id="268" name="نص_الصيغة" descr="=COUNTIF(C50:C61,C64)&#10;">
            <a:extLst>
              <a:ext uri="{FF2B5EF4-FFF2-40B4-BE49-F238E27FC236}">
                <a16:creationId xmlns:a16="http://schemas.microsoft.com/office/drawing/2014/main" id="{D17C46BB-8EDD-4801-A739-F49A4AD6B9C6}"/>
              </a:ext>
            </a:extLst>
          </xdr:cNvPr>
          <xdr:cNvSpPr txBox="1"/>
        </xdr:nvSpPr>
        <xdr:spPr>
          <a:xfrm flipH="1">
            <a:off x="3048000" y="5334000"/>
            <a:ext cx="3971925" cy="3683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1" anchor="t"/>
          <a:lstStyle/>
          <a:p>
            <a:pPr rtl="1"/>
            <a:r>
              <a:rPr lang="en-US" sz="2000" b="0" i="0" u="none" strike="noStrike" baseline="0">
                <a:solidFill>
                  <a:schemeClr val="dk1"/>
                </a:solidFill>
                <a:latin typeface="Courier New" panose="02070309020205020404" pitchFamily="49" charset="0"/>
                <a:ea typeface="+mn-ea"/>
                <a:cs typeface="Courier New" panose="02070309020205020404" pitchFamily="49" charset="0"/>
              </a:rPr>
              <a:t>=COUNTIF(C50:C61;C64)</a:t>
            </a:r>
          </a:p>
        </xdr:txBody>
      </xdr:sp>
      <xdr:grpSp>
        <xdr:nvGrpSpPr>
          <xdr:cNvPr id="269" name="المجموعة 268">
            <a:extLst>
              <a:ext uri="{FF2B5EF4-FFF2-40B4-BE49-F238E27FC236}">
                <a16:creationId xmlns:a16="http://schemas.microsoft.com/office/drawing/2014/main" id="{37527305-6134-452A-8E72-EC503505A6ED}"/>
              </a:ext>
            </a:extLst>
          </xdr:cNvPr>
          <xdr:cNvGrpSpPr/>
        </xdr:nvGrpSpPr>
        <xdr:grpSpPr>
          <a:xfrm>
            <a:off x="3629025" y="4524375"/>
            <a:ext cx="1466850" cy="861227"/>
            <a:chOff x="3629025" y="4524375"/>
            <a:chExt cx="1466850" cy="861227"/>
          </a:xfrm>
        </xdr:grpSpPr>
        <xdr:sp macro="" textlink="">
          <xdr:nvSpPr>
            <xdr:cNvPr id="273" name="قوس الصيغة العلوي">
              <a:extLst>
                <a:ext uri="{FF2B5EF4-FFF2-40B4-BE49-F238E27FC236}">
                  <a16:creationId xmlns:a16="http://schemas.microsoft.com/office/drawing/2014/main" id="{36B585B0-0CA8-40C9-B8A4-354751F708F4}"/>
                </a:ext>
              </a:extLst>
            </xdr:cNvPr>
            <xdr:cNvSpPr/>
          </xdr:nvSpPr>
          <xdr:spPr>
            <a:xfrm rot="16200000" flipH="1">
              <a:off x="4112811"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74" name="نص_ وسيلة شرح الصيغة العلوية" descr="ما هو النطاق الذي تريد إلقاء نظرة عليه؟&#10;">
              <a:extLst>
                <a:ext uri="{FF2B5EF4-FFF2-40B4-BE49-F238E27FC236}">
                  <a16:creationId xmlns:a16="http://schemas.microsoft.com/office/drawing/2014/main" id="{34D80480-D101-45AC-B9CF-78D23DC421E6}"/>
                </a:ext>
              </a:extLst>
            </xdr:cNvPr>
            <xdr:cNvSpPr txBox="1">
              <a:spLocks noChangeArrowheads="1"/>
            </xdr:cNvSpPr>
          </xdr:nvSpPr>
          <xdr:spPr bwMode="auto">
            <a:xfrm flipH="1">
              <a:off x="3629025" y="4524375"/>
              <a:ext cx="14668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ما هو النطاق الذي تريد إلقاء نظرة عليه؟</a:t>
              </a:r>
            </a:p>
          </xdr:txBody>
        </xdr:sp>
      </xdr:grpSp>
      <xdr:grpSp>
        <xdr:nvGrpSpPr>
          <xdr:cNvPr id="270" name="المجموعة 269">
            <a:extLst>
              <a:ext uri="{FF2B5EF4-FFF2-40B4-BE49-F238E27FC236}">
                <a16:creationId xmlns:a16="http://schemas.microsoft.com/office/drawing/2014/main" id="{2CCDD87F-488A-4F59-94B0-9890040AE4A5}"/>
              </a:ext>
            </a:extLst>
          </xdr:cNvPr>
          <xdr:cNvGrpSpPr/>
        </xdr:nvGrpSpPr>
        <xdr:grpSpPr>
          <a:xfrm>
            <a:off x="2524125" y="5521874"/>
            <a:ext cx="1838325" cy="838202"/>
            <a:chOff x="2524125" y="5521874"/>
            <a:chExt cx="1838325" cy="838202"/>
          </a:xfrm>
        </xdr:grpSpPr>
        <xdr:sp macro="" textlink="">
          <xdr:nvSpPr>
            <xdr:cNvPr id="271" name="قوس الصيغة السفلي">
              <a:extLst>
                <a:ext uri="{FF2B5EF4-FFF2-40B4-BE49-F238E27FC236}">
                  <a16:creationId xmlns:a16="http://schemas.microsoft.com/office/drawing/2014/main" id="{A61DA540-4BFA-41A7-A504-CCFAB774EC94}"/>
                </a:ext>
              </a:extLst>
            </xdr:cNvPr>
            <xdr:cNvSpPr/>
          </xdr:nvSpPr>
          <xdr:spPr>
            <a:xfrm rot="5400000" flipH="1">
              <a:off x="3188888" y="5523864"/>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272" name="نص_وسيلة شرح الصيغة السفلية" descr="ما هي القيمة (نص أو رقم) التي تريد البحث عنها؟&#10;">
              <a:extLst>
                <a:ext uri="{FF2B5EF4-FFF2-40B4-BE49-F238E27FC236}">
                  <a16:creationId xmlns:a16="http://schemas.microsoft.com/office/drawing/2014/main" id="{73BBFD57-E525-4CF9-A6E9-242691515557}"/>
                </a:ext>
              </a:extLst>
            </xdr:cNvPr>
            <xdr:cNvSpPr txBox="1">
              <a:spLocks noChangeArrowheads="1"/>
            </xdr:cNvSpPr>
          </xdr:nvSpPr>
          <xdr:spPr bwMode="auto">
            <a:xfrm flipH="1">
              <a:off x="2524125" y="5874301"/>
              <a:ext cx="1838325"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indent="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ما هي القيمة (نص أو رقم) التي تريد البحث عنها؟</a:t>
              </a:r>
            </a:p>
          </xdr:txBody>
        </xdr:sp>
      </xdr:grpSp>
    </xdr:grpSp>
    <xdr:clientData/>
  </xdr:twoCellAnchor>
  <xdr:twoCellAnchor>
    <xdr:from>
      <xdr:col>0</xdr:col>
      <xdr:colOff>475870</xdr:colOff>
      <xdr:row>71</xdr:row>
      <xdr:rowOff>47608</xdr:rowOff>
    </xdr:from>
    <xdr:to>
      <xdr:col>1</xdr:col>
      <xdr:colOff>5063952</xdr:colOff>
      <xdr:row>81</xdr:row>
      <xdr:rowOff>68745</xdr:rowOff>
    </xdr:to>
    <xdr:grpSp>
      <xdr:nvGrpSpPr>
        <xdr:cNvPr id="275" name="مجموعة 274">
          <a:extLst>
            <a:ext uri="{FF2B5EF4-FFF2-40B4-BE49-F238E27FC236}">
              <a16:creationId xmlns:a16="http://schemas.microsoft.com/office/drawing/2014/main" id="{847274C0-AC26-4344-B2CE-53D60DDD0425}"/>
            </a:ext>
          </a:extLst>
        </xdr:cNvPr>
        <xdr:cNvGrpSpPr/>
      </xdr:nvGrpSpPr>
      <xdr:grpSpPr>
        <a:xfrm flipH="1">
          <a:off x="10919387148" y="13839808"/>
          <a:ext cx="5550107" cy="1830887"/>
          <a:chOff x="498614" y="14144607"/>
          <a:chExt cx="5406887" cy="1954071"/>
        </a:xfrm>
      </xdr:grpSpPr>
      <xdr:sp macro="" textlink="">
        <xdr:nvSpPr>
          <xdr:cNvPr id="276" name="قوس الصيغة السفلي">
            <a:extLst>
              <a:ext uri="{FF2B5EF4-FFF2-40B4-BE49-F238E27FC236}">
                <a16:creationId xmlns:a16="http://schemas.microsoft.com/office/drawing/2014/main" id="{97A01290-7C21-4B89-985F-9ACD27071CF1}"/>
              </a:ext>
            </a:extLst>
          </xdr:cNvPr>
          <xdr:cNvSpPr/>
        </xdr:nvSpPr>
        <xdr:spPr>
          <a:xfrm rot="5400000" flipH="1">
            <a:off x="767057" y="15242518"/>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277" name="قوس الصيغة السفلي">
            <a:extLst>
              <a:ext uri="{FF2B5EF4-FFF2-40B4-BE49-F238E27FC236}">
                <a16:creationId xmlns:a16="http://schemas.microsoft.com/office/drawing/2014/main" id="{FBA8E8F9-1C1F-46A9-819E-ED4261288C76}"/>
              </a:ext>
            </a:extLst>
          </xdr:cNvPr>
          <xdr:cNvSpPr/>
        </xdr:nvSpPr>
        <xdr:spPr>
          <a:xfrm rot="5400000" flipH="1">
            <a:off x="2540969" y="15258495"/>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marL="0" indent="0" rtl="1"/>
            <a:endParaRPr lang="en-US" sz="1100">
              <a:solidFill>
                <a:schemeClr val="tx1"/>
              </a:solidFill>
              <a:latin typeface="+mn-lt"/>
              <a:ea typeface="+mn-ea"/>
              <a:cs typeface="+mn-cs"/>
            </a:endParaRPr>
          </a:p>
        </xdr:txBody>
      </xdr:sp>
      <xdr:sp macro="" textlink="">
        <xdr:nvSpPr>
          <xdr:cNvPr id="278" name="قوس الصيغة العلوي">
            <a:extLst>
              <a:ext uri="{FF2B5EF4-FFF2-40B4-BE49-F238E27FC236}">
                <a16:creationId xmlns:a16="http://schemas.microsoft.com/office/drawing/2014/main" id="{44603805-5C4E-4370-B762-A5B53406A8B3}"/>
              </a:ext>
            </a:extLst>
          </xdr:cNvPr>
          <xdr:cNvSpPr/>
        </xdr:nvSpPr>
        <xdr:spPr>
          <a:xfrm rot="16200000" flipH="1">
            <a:off x="1659640" y="14246185"/>
            <a:ext cx="495146" cy="10617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79" name="قوس الصيغة العلوي">
            <a:extLst>
              <a:ext uri="{FF2B5EF4-FFF2-40B4-BE49-F238E27FC236}">
                <a16:creationId xmlns:a16="http://schemas.microsoft.com/office/drawing/2014/main" id="{02E6B0A4-8693-43A2-A27C-ECA0F01F93E4}"/>
              </a:ext>
            </a:extLst>
          </xdr:cNvPr>
          <xdr:cNvSpPr/>
        </xdr:nvSpPr>
        <xdr:spPr>
          <a:xfrm rot="16200000" flipH="1">
            <a:off x="3452598" y="14268220"/>
            <a:ext cx="495146" cy="9973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1" fromWordArt="0" anchor="ctr" anchorCtr="0" forceAA="0" compatLnSpc="1">
            <a:prstTxWarp prst="textNoShape">
              <a:avLst/>
            </a:prstTxWarp>
            <a:noAutofit/>
          </a:bodyPr>
          <a:lstStyle/>
          <a:p>
            <a:pPr rtl="1"/>
            <a:endParaRPr lang="en-US"/>
          </a:p>
        </xdr:txBody>
      </xdr:sp>
      <xdr:sp macro="" textlink="">
        <xdr:nvSpPr>
          <xdr:cNvPr id="280" name="نص_الصيغة" descr="=COUNTIFS(F50:F61,F64,G50:G61,G64)&#10;">
            <a:extLst>
              <a:ext uri="{FF2B5EF4-FFF2-40B4-BE49-F238E27FC236}">
                <a16:creationId xmlns:a16="http://schemas.microsoft.com/office/drawing/2014/main" id="{9B024B79-A0D7-4146-8614-608EC9FDD326}"/>
              </a:ext>
            </a:extLst>
          </xdr:cNvPr>
          <xdr:cNvSpPr txBox="1"/>
        </xdr:nvSpPr>
        <xdr:spPr>
          <a:xfrm flipH="1">
            <a:off x="638175" y="14982175"/>
            <a:ext cx="5267326" cy="301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1" anchor="t"/>
          <a:lstStyle/>
          <a:p>
            <a:pPr rtl="1"/>
            <a:r>
              <a:rPr lang="en-US" sz="2000" b="0" i="0" u="none" strike="noStrike" baseline="0">
                <a:solidFill>
                  <a:schemeClr val="dk1"/>
                </a:solidFill>
                <a:latin typeface="Courier New" panose="02070309020205020404" pitchFamily="49" charset="0"/>
                <a:ea typeface="+mn-ea"/>
                <a:cs typeface="Courier New" panose="02070309020205020404" pitchFamily="49" charset="0"/>
              </a:rPr>
              <a:t>=COUNTIFS(F50:F61;F64;G50:G61;G64)</a:t>
            </a:r>
          </a:p>
        </xdr:txBody>
      </xdr:sp>
      <xdr:sp macro="" textlink="">
        <xdr:nvSpPr>
          <xdr:cNvPr id="281" name="نص_ وسيلة شرح الصيغة العلوية" descr="هذا هو النطاق الأول للحساب&#10;&#10;&#10;">
            <a:extLst>
              <a:ext uri="{FF2B5EF4-FFF2-40B4-BE49-F238E27FC236}">
                <a16:creationId xmlns:a16="http://schemas.microsoft.com/office/drawing/2014/main" id="{DED25350-43A6-40AF-99DE-4A8B25E7E5AE}"/>
              </a:ext>
            </a:extLst>
          </xdr:cNvPr>
          <xdr:cNvSpPr txBox="1">
            <a:spLocks noChangeArrowheads="1"/>
          </xdr:cNvSpPr>
        </xdr:nvSpPr>
        <xdr:spPr bwMode="auto">
          <a:xfrm flipH="1">
            <a:off x="3144530" y="14144607"/>
            <a:ext cx="11112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هذا هو النطاق الأول للحساب</a:t>
            </a:r>
          </a:p>
        </xdr:txBody>
      </xdr:sp>
      <xdr:sp macro="" textlink="">
        <xdr:nvSpPr>
          <xdr:cNvPr id="282" name="نص_ وسيلة شرح الصيغة العلوية" descr="هذا هو النطاق الثاني للحساب&#10;">
            <a:extLst>
              <a:ext uri="{FF2B5EF4-FFF2-40B4-BE49-F238E27FC236}">
                <a16:creationId xmlns:a16="http://schemas.microsoft.com/office/drawing/2014/main" id="{11EE695F-0D8C-4F27-9607-875A146520A9}"/>
              </a:ext>
            </a:extLst>
          </xdr:cNvPr>
          <xdr:cNvSpPr txBox="1">
            <a:spLocks noChangeArrowheads="1"/>
          </xdr:cNvSpPr>
        </xdr:nvSpPr>
        <xdr:spPr bwMode="auto">
          <a:xfrm flipH="1">
            <a:off x="1298038" y="14154773"/>
            <a:ext cx="121834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rtl="1"/>
            <a:r>
              <a:rPr lang="ar" sz="1100">
                <a:effectLst/>
                <a:latin typeface="Tahoma" panose="020B0604030504040204" pitchFamily="34" charset="0"/>
                <a:ea typeface="+mn-ea"/>
                <a:cs typeface="Tahoma" panose="020B0604030504040204" pitchFamily="34" charset="0"/>
              </a:rPr>
              <a:t>هذا هو النطاق الثاني للحساب</a:t>
            </a:r>
            <a:endParaRPr lang="en-US">
              <a:effectLst/>
              <a:latin typeface="Tahoma" panose="020B0604030504040204" pitchFamily="34" charset="0"/>
              <a:cs typeface="Tahoma" panose="020B0604030504040204" pitchFamily="34" charset="0"/>
            </a:endParaRPr>
          </a:p>
        </xdr:txBody>
      </xdr:sp>
      <xdr:sp macro="" textlink="">
        <xdr:nvSpPr>
          <xdr:cNvPr id="283" name="نص_وسيلة شرح الصيغة السفلية" descr="هذه هي معايير التطابق الأول&#10;&#10;">
            <a:extLst>
              <a:ext uri="{FF2B5EF4-FFF2-40B4-BE49-F238E27FC236}">
                <a16:creationId xmlns:a16="http://schemas.microsoft.com/office/drawing/2014/main" id="{CA955A6F-F900-4254-A38C-2B84B32EF341}"/>
              </a:ext>
            </a:extLst>
          </xdr:cNvPr>
          <xdr:cNvSpPr txBox="1">
            <a:spLocks noChangeArrowheads="1"/>
          </xdr:cNvSpPr>
        </xdr:nvSpPr>
        <xdr:spPr bwMode="auto">
          <a:xfrm flipH="1">
            <a:off x="2181051" y="15604904"/>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rtl="1"/>
            <a:r>
              <a:rPr lang="ar" sz="1100">
                <a:effectLst/>
                <a:latin typeface="Tahoma" panose="020B0604030504040204" pitchFamily="34" charset="0"/>
                <a:ea typeface="+mn-ea"/>
                <a:cs typeface="Tahoma" panose="020B0604030504040204" pitchFamily="34" charset="0"/>
              </a:rPr>
              <a:t>هذه هي معايير التطابق الأول</a:t>
            </a:r>
            <a:endParaRPr lang="en-US">
              <a:effectLst/>
              <a:latin typeface="Tahoma" panose="020B0604030504040204" pitchFamily="34" charset="0"/>
              <a:cs typeface="Tahoma" panose="020B0604030504040204" pitchFamily="34" charset="0"/>
            </a:endParaRPr>
          </a:p>
        </xdr:txBody>
      </xdr:sp>
      <xdr:sp macro="" textlink="">
        <xdr:nvSpPr>
          <xdr:cNvPr id="284" name="نص_وسيلة شرح الصيغة السفلية" descr="هذه هي معايير التطابق الثاني&#10;">
            <a:extLst>
              <a:ext uri="{FF2B5EF4-FFF2-40B4-BE49-F238E27FC236}">
                <a16:creationId xmlns:a16="http://schemas.microsoft.com/office/drawing/2014/main" id="{838EB08C-21C3-4C95-9A03-F7C12DFF31CD}"/>
              </a:ext>
            </a:extLst>
          </xdr:cNvPr>
          <xdr:cNvSpPr txBox="1">
            <a:spLocks noChangeArrowheads="1"/>
          </xdr:cNvSpPr>
        </xdr:nvSpPr>
        <xdr:spPr bwMode="auto">
          <a:xfrm flipH="1">
            <a:off x="498614" y="15594738"/>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1" anchor="t" anchorCtr="0">
            <a:noAutofit/>
          </a:bodyPr>
          <a:lstStyle/>
          <a:p>
            <a:pPr marL="0" marR="0" indent="0" rtl="1">
              <a:lnSpc>
                <a:spcPct val="107000"/>
              </a:lnSpc>
              <a:spcBef>
                <a:spcPts val="0"/>
              </a:spcBef>
              <a:spcAft>
                <a:spcPts val="800"/>
              </a:spcAft>
            </a:pPr>
            <a:r>
              <a:rPr lang="ar" sz="1100">
                <a:effectLst/>
                <a:latin typeface="Tahoma" panose="020B0604030504040204" pitchFamily="34" charset="0"/>
                <a:ea typeface="Calibri" panose="020F0502020204030204" pitchFamily="34" charset="0"/>
                <a:cs typeface="Tahoma" panose="020B0604030504040204" pitchFamily="34" charset="0"/>
              </a:rPr>
              <a:t>هذه معايير</a:t>
            </a:r>
            <a:r>
              <a:rPr lang="ar" sz="1100" baseline="0">
                <a:effectLst/>
                <a:latin typeface="Tahoma" panose="020B0604030504040204" pitchFamily="34" charset="0"/>
                <a:ea typeface="Calibri" panose="020F0502020204030204" pitchFamily="34" charset="0"/>
                <a:cs typeface="Tahoma" panose="020B0604030504040204" pitchFamily="34" charset="0"/>
              </a:rPr>
              <a:t>للتطابق الثاني</a:t>
            </a:r>
            <a:endParaRPr lang="en-US" sz="1100">
              <a:effectLst/>
              <a:latin typeface="Tahoma" panose="020B0604030504040204" pitchFamily="34" charset="0"/>
              <a:ea typeface="Calibri" panose="020F0502020204030204" pitchFamily="34" charset="0"/>
              <a:cs typeface="Tahoma" panose="020B0604030504040204" pitchFamily="34" charset="0"/>
            </a:endParaRPr>
          </a:p>
        </xdr:txBody>
      </xdr:sp>
    </xdr:grpSp>
    <xdr:clientData/>
  </xdr:twoCellAnchor>
  <xdr:twoCellAnchor>
    <xdr:from>
      <xdr:col>0</xdr:col>
      <xdr:colOff>571500</xdr:colOff>
      <xdr:row>83</xdr:row>
      <xdr:rowOff>38100</xdr:rowOff>
    </xdr:from>
    <xdr:to>
      <xdr:col>1</xdr:col>
      <xdr:colOff>2446842</xdr:colOff>
      <xdr:row>85</xdr:row>
      <xdr:rowOff>188024</xdr:rowOff>
    </xdr:to>
    <xdr:sp macro="" textlink="">
      <xdr:nvSpPr>
        <xdr:cNvPr id="285" name="زر المزيد من التفاصيل" descr="انتقل إلى الأسفل لمزيد من التفاصيل">
          <a:hlinkClick xmlns:r="http://schemas.openxmlformats.org/officeDocument/2006/relationships" r:id="rId21"/>
          <a:extLst>
            <a:ext uri="{FF2B5EF4-FFF2-40B4-BE49-F238E27FC236}">
              <a16:creationId xmlns:a16="http://schemas.microsoft.com/office/drawing/2014/main" id="{8D5461FA-B324-43B7-BD8D-8A93884BC3F2}"/>
            </a:ext>
          </a:extLst>
        </xdr:cNvPr>
        <xdr:cNvSpPr/>
      </xdr:nvSpPr>
      <xdr:spPr>
        <a:xfrm flipH="1">
          <a:off x="571500" y="1645920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انتقل إلى الأسفل لمزيد من التفاصيل</a:t>
          </a:r>
        </a:p>
      </xdr:txBody>
    </xdr:sp>
    <xdr:clientData/>
  </xdr:twoCellAnchor>
  <xdr:twoCellAnchor>
    <xdr:from>
      <xdr:col>0</xdr:col>
      <xdr:colOff>619125</xdr:colOff>
      <xdr:row>107</xdr:row>
      <xdr:rowOff>123825</xdr:rowOff>
    </xdr:from>
    <xdr:to>
      <xdr:col>1</xdr:col>
      <xdr:colOff>2494467</xdr:colOff>
      <xdr:row>110</xdr:row>
      <xdr:rowOff>83249</xdr:rowOff>
    </xdr:to>
    <xdr:sp macro="" textlink="">
      <xdr:nvSpPr>
        <xdr:cNvPr id="131" name="زر المزيد من التفاصيل" descr="انتقل إلى الأسفل لمزيد من التفاصيل">
          <a:hlinkClick xmlns:r="http://schemas.openxmlformats.org/officeDocument/2006/relationships" r:id="rId22"/>
          <a:extLst>
            <a:ext uri="{FF2B5EF4-FFF2-40B4-BE49-F238E27FC236}">
              <a16:creationId xmlns:a16="http://schemas.microsoft.com/office/drawing/2014/main" id="{E4939BBA-49B2-4BFB-A7CF-F0BF2534CA19}"/>
            </a:ext>
          </a:extLst>
        </xdr:cNvPr>
        <xdr:cNvSpPr/>
      </xdr:nvSpPr>
      <xdr:spPr>
        <a:xfrm flipH="1">
          <a:off x="10921956633" y="20554950"/>
          <a:ext cx="2837367" cy="502349"/>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1"/>
          <a:r>
            <a:rPr lang="ar" sz="1200">
              <a:solidFill>
                <a:srgbClr val="0B744D"/>
              </a:solidFill>
              <a:latin typeface="Tahoma" panose="020B0604030504040204" pitchFamily="34" charset="0"/>
              <a:ea typeface="Segoe UI" pitchFamily="34" charset="0"/>
              <a:cs typeface="Tahoma" panose="020B0604030504040204" pitchFamily="34" charset="0"/>
            </a:rPr>
            <a:t>انتقل إلى الأسفل لمزيد من التفاصيل</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660401</xdr:colOff>
      <xdr:row>9</xdr:row>
      <xdr:rowOff>182563</xdr:rowOff>
    </xdr:from>
    <xdr:to>
      <xdr:col>6</xdr:col>
      <xdr:colOff>285751</xdr:colOff>
      <xdr:row>19</xdr:row>
      <xdr:rowOff>30704</xdr:rowOff>
    </xdr:to>
    <xdr:grpSp>
      <xdr:nvGrpSpPr>
        <xdr:cNvPr id="76" name="اطلع على ذلك" descr="اطلع على ذلك&#10;&#10;">
          <a:extLst>
            <a:ext uri="{FF2B5EF4-FFF2-40B4-BE49-F238E27FC236}">
              <a16:creationId xmlns:a16="http://schemas.microsoft.com/office/drawing/2014/main" id="{16122225-CAAD-44E9-BB30-7B1C9C3D2195}"/>
            </a:ext>
          </a:extLst>
        </xdr:cNvPr>
        <xdr:cNvGrpSpPr/>
      </xdr:nvGrpSpPr>
      <xdr:grpSpPr>
        <a:xfrm flipH="1">
          <a:off x="11231746649" y="2449513"/>
          <a:ext cx="2997200" cy="1686466"/>
          <a:chOff x="7830674" y="7688589"/>
          <a:chExt cx="3264946" cy="1715014"/>
        </a:xfrm>
      </xdr:grpSpPr>
      <xdr:grpSp>
        <xdr:nvGrpSpPr>
          <xdr:cNvPr id="77" name="أسطر قوس">
            <a:extLst>
              <a:ext uri="{FF2B5EF4-FFF2-40B4-BE49-F238E27FC236}">
                <a16:creationId xmlns:a16="http://schemas.microsoft.com/office/drawing/2014/main" id="{B68F7B71-DFB1-44E6-A3F5-6C1A75430E65}"/>
              </a:ext>
            </a:extLst>
          </xdr:cNvPr>
          <xdr:cNvGrpSpPr/>
        </xdr:nvGrpSpPr>
        <xdr:grpSpPr>
          <a:xfrm rot="599914">
            <a:off x="8268618" y="7688589"/>
            <a:ext cx="979149" cy="340408"/>
            <a:chOff x="10431582" y="468512"/>
            <a:chExt cx="910870" cy="384745"/>
          </a:xfrm>
        </xdr:grpSpPr>
        <xdr:sp macro="" textlink="">
          <xdr:nvSpPr>
            <xdr:cNvPr id="80" name="سطر قوس آخر" descr="سطر قوس">
              <a:extLst>
                <a:ext uri="{FF2B5EF4-FFF2-40B4-BE49-F238E27FC236}">
                  <a16:creationId xmlns:a16="http://schemas.microsoft.com/office/drawing/2014/main" id="{A829194B-025B-496A-981A-F3186DD91FB9}"/>
                </a:ext>
              </a:extLst>
            </xdr:cNvPr>
            <xdr:cNvSpPr/>
          </xdr:nvSpPr>
          <xdr:spPr>
            <a:xfrm rot="4800086">
              <a:off x="10937285" y="395446"/>
              <a:ext cx="332101" cy="47823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sp macro="" textlink="">
          <xdr:nvSpPr>
            <xdr:cNvPr id="81" name="سطر قوس" descr="سطر قوس&#10;">
              <a:extLst>
                <a:ext uri="{FF2B5EF4-FFF2-40B4-BE49-F238E27FC236}">
                  <a16:creationId xmlns:a16="http://schemas.microsoft.com/office/drawing/2014/main" id="{BACEE05B-8FEC-4418-A1A8-3357906C0B37}"/>
                </a:ext>
              </a:extLst>
            </xdr:cNvPr>
            <xdr:cNvSpPr/>
          </xdr:nvSpPr>
          <xdr:spPr>
            <a:xfrm rot="4800086">
              <a:off x="10557120" y="532226"/>
              <a:ext cx="195493"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grpSp>
      <xdr:pic>
        <xdr:nvPicPr>
          <xdr:cNvPr id="78" name="النجوم" descr="النجوم">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7" cy="337815"/>
          </a:xfrm>
          <a:prstGeom prst="rect">
            <a:avLst/>
          </a:prstGeom>
        </xdr:spPr>
      </xdr:pic>
      <xdr:sp macro="" textlink="">
        <xdr:nvSpPr>
          <xdr:cNvPr id="79" name="الإرشادات" descr="CHECK THIS OUT&#10;You should end up with =VLOOKUP(C10,C5:D8,2,FALSE)&#10;">
            <a:extLst>
              <a:ext uri="{FF2B5EF4-FFF2-40B4-BE49-F238E27FC236}">
                <a16:creationId xmlns:a16="http://schemas.microsoft.com/office/drawing/2014/main" id="{CD6BEA80-3565-4CB2-961F-64F55693307F}"/>
              </a:ext>
            </a:extLst>
          </xdr:cNvPr>
          <xdr:cNvSpPr txBox="1"/>
        </xdr:nvSpPr>
        <xdr:spPr>
          <a:xfrm flipH="1">
            <a:off x="8132528" y="7993902"/>
            <a:ext cx="2963092"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Tahoma" panose="020B0604030504040204" pitchFamily="34" charset="0"/>
                <a:ea typeface="Tahoma" panose="020B0604030504040204" pitchFamily="34" charset="0"/>
                <a:cs typeface="Tahoma" panose="020B0604030504040204" pitchFamily="34" charset="0"/>
              </a:rPr>
              <a:t>اطلع على ذلك</a:t>
            </a:r>
          </a:p>
          <a:p>
            <a:pPr lvl="0" algn="r" rtl="1">
              <a:defRPr/>
            </a:pPr>
            <a:r>
              <a:rPr lang="ar" sz="1100" kern="0">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rPr>
              <a:t>يجب أن ينتهي الأمر بـ </a:t>
            </a:r>
            <a:r>
              <a:rPr lang="en-US" sz="1100" b="1" i="0" u="none" strike="noStrike" kern="1200" baseline="0">
                <a:solidFill>
                  <a:schemeClr val="dk1"/>
                </a:solidFill>
                <a:latin typeface="Tahoma" panose="020B0604030504040204" pitchFamily="34" charset="0"/>
                <a:ea typeface="Tahoma" panose="020B0604030504040204" pitchFamily="34" charset="0"/>
                <a:cs typeface="Tahoma" panose="020B0604030504040204" pitchFamily="34" charset="0"/>
              </a:rPr>
              <a:t>=VLOOKUP(C10;C5:D8;2;FALSE)</a:t>
            </a:r>
            <a:endParaRPr lang="en-US" sz="1100" b="1">
              <a:solidFill>
                <a:schemeClr val="bg2">
                  <a:lumMod val="25000"/>
                </a:schemeClr>
              </a:solidFill>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xdr:from>
      <xdr:col>0</xdr:col>
      <xdr:colOff>352425</xdr:colOff>
      <xdr:row>34</xdr:row>
      <xdr:rowOff>161925</xdr:rowOff>
    </xdr:from>
    <xdr:to>
      <xdr:col>1</xdr:col>
      <xdr:colOff>5218938</xdr:colOff>
      <xdr:row>48</xdr:row>
      <xdr:rowOff>161925</xdr:rowOff>
    </xdr:to>
    <xdr:grpSp>
      <xdr:nvGrpSpPr>
        <xdr:cNvPr id="82" name="المجموعة 81">
          <a:extLst>
            <a:ext uri="{FF2B5EF4-FFF2-40B4-BE49-F238E27FC236}">
              <a16:creationId xmlns:a16="http://schemas.microsoft.com/office/drawing/2014/main" id="{1015345F-A070-4EDE-8224-DC487667438E}"/>
            </a:ext>
          </a:extLst>
        </xdr:cNvPr>
        <xdr:cNvGrpSpPr/>
      </xdr:nvGrpSpPr>
      <xdr:grpSpPr>
        <a:xfrm flipH="1">
          <a:off x="11236490862" y="6981825"/>
          <a:ext cx="5847588" cy="2533650"/>
          <a:chOff x="352425" y="10715625"/>
          <a:chExt cx="5733288" cy="2390775"/>
        </a:xfrm>
      </xdr:grpSpPr>
      <xdr:sp macro="" textlink="">
        <xdr:nvSpPr>
          <xdr:cNvPr id="83" name="مستطيل 82">
            <a:extLst>
              <a:ext uri="{FF2B5EF4-FFF2-40B4-BE49-F238E27FC236}">
                <a16:creationId xmlns:a16="http://schemas.microsoft.com/office/drawing/2014/main" id="{BF247EB2-F003-4BDA-BFB1-B8FADD1C69C7}"/>
              </a:ext>
            </a:extLst>
          </xdr:cNvPr>
          <xdr:cNvSpPr/>
        </xdr:nvSpPr>
        <xdr:spPr>
          <a:xfrm flipH="1">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84" name="الخطوة" descr="المزيد من المعلومات على الويب&#10;">
            <a:extLst>
              <a:ext uri="{FF2B5EF4-FFF2-40B4-BE49-F238E27FC236}">
                <a16:creationId xmlns:a16="http://schemas.microsoft.com/office/drawing/2014/main" id="{28ECC19D-57DD-47CB-A76D-C80D367AE2C8}"/>
              </a:ext>
            </a:extLst>
          </xdr:cNvPr>
          <xdr:cNvSpPr txBox="1"/>
        </xdr:nvSpPr>
        <xdr:spPr>
          <a:xfrm flipH="1">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85" name="موصل مستقيم 84" descr="سطر مزخرف">
            <a:extLst>
              <a:ext uri="{FF2B5EF4-FFF2-40B4-BE49-F238E27FC236}">
                <a16:creationId xmlns:a16="http://schemas.microsoft.com/office/drawing/2014/main" id="{123ED04E-B6E8-457B-8D55-39D8FD68B6AD}"/>
              </a:ext>
            </a:extLst>
          </xdr:cNvPr>
          <xdr:cNvCxnSpPr>
            <a:cxnSpLocks/>
          </xdr:cNvCxnSpPr>
        </xdr:nvCxnSpPr>
        <xdr:spPr>
          <a:xfrm flipH="1">
            <a:off x="563457" y="11291551"/>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موصل مستقيم 85" descr="سطر مزخرف">
            <a:extLst>
              <a:ext uri="{FF2B5EF4-FFF2-40B4-BE49-F238E27FC236}">
                <a16:creationId xmlns:a16="http://schemas.microsoft.com/office/drawing/2014/main" id="{2C795585-0AA1-40B2-AE62-AEC803091634}"/>
              </a:ext>
            </a:extLst>
          </xdr:cNvPr>
          <xdr:cNvCxnSpPr>
            <a:cxnSpLocks/>
          </xdr:cNvCxnSpPr>
        </xdr:nvCxnSpPr>
        <xdr:spPr>
          <a:xfrm flipH="1">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38</xdr:row>
      <xdr:rowOff>168994</xdr:rowOff>
    </xdr:from>
    <xdr:to>
      <xdr:col>1</xdr:col>
      <xdr:colOff>2562225</xdr:colOff>
      <xdr:row>40</xdr:row>
      <xdr:rowOff>147073</xdr:rowOff>
    </xdr:to>
    <xdr:grpSp>
      <xdr:nvGrpSpPr>
        <xdr:cNvPr id="5" name="المجموعة 4">
          <a:extLst>
            <a:ext uri="{FF2B5EF4-FFF2-40B4-BE49-F238E27FC236}">
              <a16:creationId xmlns:a16="http://schemas.microsoft.com/office/drawing/2014/main" id="{82632918-520D-4E51-9E28-E3DEB82D9A91}"/>
            </a:ext>
          </a:extLst>
        </xdr:cNvPr>
        <xdr:cNvGrpSpPr/>
      </xdr:nvGrpSpPr>
      <xdr:grpSpPr>
        <a:xfrm flipH="1">
          <a:off x="11239147575" y="7712794"/>
          <a:ext cx="2980894" cy="340029"/>
          <a:chOff x="562406" y="11008444"/>
          <a:chExt cx="2866594" cy="359079"/>
        </a:xfrm>
      </xdr:grpSpPr>
      <xdr:sp macro="" textlink="">
        <xdr:nvSpPr>
          <xdr:cNvPr id="87" name="الخطوة" descr="جميع المعلومات حول الدالة IF، مرتبط ارتباطاً تشعبياً إلى الويب&#10;&#10;">
            <a:hlinkClick xmlns:r="http://schemas.openxmlformats.org/officeDocument/2006/relationships" r:id="rId3" tooltip="حدد للتعرف على جميع المعلومات حول الصيغ في Excel على الويب"/>
            <a:extLst>
              <a:ext uri="{FF2B5EF4-FFF2-40B4-BE49-F238E27FC236}">
                <a16:creationId xmlns:a16="http://schemas.microsoft.com/office/drawing/2014/main" id="{41455299-D7B6-412C-80EB-393F42F3AB5B}"/>
              </a:ext>
            </a:extLst>
          </xdr:cNvPr>
          <xdr:cNvSpPr txBox="1"/>
        </xdr:nvSpPr>
        <xdr:spPr>
          <a:xfrm flipH="1">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نظرة عامة</a:t>
            </a:r>
            <a:r>
              <a:rPr lang="ar" sz="1100" u="sng"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حول الصيغ في Excel</a:t>
            </a:r>
            <a:endPar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pic>
        <xdr:nvPicPr>
          <xdr:cNvPr id="88" name="الرسم 22" descr="سهم">
            <a:hlinkClick xmlns:r="http://schemas.openxmlformats.org/officeDocument/2006/relationships" r:id="rId3" tooltip="حدد للتعرّف على المزيد من الويب"/>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40</xdr:row>
      <xdr:rowOff>163060</xdr:rowOff>
    </xdr:from>
    <xdr:to>
      <xdr:col>1</xdr:col>
      <xdr:colOff>2590800</xdr:colOff>
      <xdr:row>42</xdr:row>
      <xdr:rowOff>146449</xdr:rowOff>
    </xdr:to>
    <xdr:grpSp>
      <xdr:nvGrpSpPr>
        <xdr:cNvPr id="4" name="المجموعة 3">
          <a:extLst>
            <a:ext uri="{FF2B5EF4-FFF2-40B4-BE49-F238E27FC236}">
              <a16:creationId xmlns:a16="http://schemas.microsoft.com/office/drawing/2014/main" id="{98FAF5DD-EE61-45C8-981A-2D0D0E97F1D8}"/>
            </a:ext>
          </a:extLst>
        </xdr:cNvPr>
        <xdr:cNvGrpSpPr/>
      </xdr:nvGrpSpPr>
      <xdr:grpSpPr>
        <a:xfrm flipH="1">
          <a:off x="11239119000" y="8068810"/>
          <a:ext cx="3009469" cy="345339"/>
          <a:chOff x="562406" y="11383510"/>
          <a:chExt cx="2895169" cy="364389"/>
        </a:xfrm>
      </xdr:grpSpPr>
      <xdr:sp macro="" textlink="">
        <xdr:nvSpPr>
          <xdr:cNvPr id="89" name="الخطوة" descr="جميع المعلومات حول الدالة IFS، مرتبط ارتباطاً تشعبياً إلى الويب&#10;">
            <a:hlinkClick xmlns:r="http://schemas.openxmlformats.org/officeDocument/2006/relationships" r:id="rId6" tooltip="حدد للاطلاع على جميع دالات في Excel حسب الفئة على ويب"/>
            <a:extLst>
              <a:ext uri="{FF2B5EF4-FFF2-40B4-BE49-F238E27FC236}">
                <a16:creationId xmlns:a16="http://schemas.microsoft.com/office/drawing/2014/main" id="{D3CD53C6-1DF8-4009-A56B-751B768B6B8A}"/>
              </a:ext>
            </a:extLst>
          </xdr:cNvPr>
          <xdr:cNvSpPr txBox="1"/>
        </xdr:nvSpPr>
        <xdr:spPr>
          <a:xfrm flipH="1">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دالات Excel (حسب </a:t>
            </a:r>
            <a:r>
              <a:rPr lang="ar" sz="1100" u="sng"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الفئة)</a:t>
            </a:r>
            <a:endPar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pic>
        <xdr:nvPicPr>
          <xdr:cNvPr id="90" name="الرسم 22" descr="سهم">
            <a:hlinkClick xmlns:r="http://schemas.openxmlformats.org/officeDocument/2006/relationships" r:id="rId6" tooltip="حدد للتعرّف على المزيد من الويب"/>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45</xdr:row>
      <xdr:rowOff>3478</xdr:rowOff>
    </xdr:from>
    <xdr:to>
      <xdr:col>1</xdr:col>
      <xdr:colOff>2705099</xdr:colOff>
      <xdr:row>46</xdr:row>
      <xdr:rowOff>177367</xdr:rowOff>
    </xdr:to>
    <xdr:grpSp>
      <xdr:nvGrpSpPr>
        <xdr:cNvPr id="2" name="المجموعة 1">
          <a:extLst>
            <a:ext uri="{FF2B5EF4-FFF2-40B4-BE49-F238E27FC236}">
              <a16:creationId xmlns:a16="http://schemas.microsoft.com/office/drawing/2014/main" id="{2F82E782-5C9A-405F-90E2-13AE28FFFCBD}"/>
            </a:ext>
          </a:extLst>
        </xdr:cNvPr>
        <xdr:cNvGrpSpPr/>
      </xdr:nvGrpSpPr>
      <xdr:grpSpPr>
        <a:xfrm flipH="1">
          <a:off x="11239004701" y="8814103"/>
          <a:ext cx="3123768" cy="354864"/>
          <a:chOff x="562406" y="12176428"/>
          <a:chExt cx="2988057" cy="364389"/>
        </a:xfrm>
      </xdr:grpSpPr>
      <xdr:sp macro="" textlink="">
        <xdr:nvSpPr>
          <xdr:cNvPr id="91" name="الخطوة" descr="التدريب المجاني على Excel عبر الإنترنت، مرتبط ارتباطاً تشعبياً إلى الويب&#10;">
            <a:hlinkClick xmlns:r="http://schemas.openxmlformats.org/officeDocument/2006/relationships" r:id="rId7" tooltip="حدد للتعرف على تدريب Excel المجاني من الويب"/>
            <a:extLst>
              <a:ext uri="{FF2B5EF4-FFF2-40B4-BE49-F238E27FC236}">
                <a16:creationId xmlns:a16="http://schemas.microsoft.com/office/drawing/2014/main" id="{19A3D044-BB8D-41AF-8364-CFED7743E9E8}"/>
              </a:ext>
            </a:extLst>
          </xdr:cNvPr>
          <xdr:cNvSpPr txBox="1"/>
        </xdr:nvSpPr>
        <xdr:spPr>
          <a:xfrm flipH="1">
            <a:off x="1040198" y="12227532"/>
            <a:ext cx="2510265"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92" name="الرسم 22" descr="سهم">
            <a:hlinkClick xmlns:r="http://schemas.openxmlformats.org/officeDocument/2006/relationships" r:id="rId7" tooltip="حدد للتعرّف على المزيد من الويب"/>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42</xdr:row>
      <xdr:rowOff>162436</xdr:rowOff>
    </xdr:from>
    <xdr:to>
      <xdr:col>1</xdr:col>
      <xdr:colOff>2590800</xdr:colOff>
      <xdr:row>44</xdr:row>
      <xdr:rowOff>145825</xdr:rowOff>
    </xdr:to>
    <xdr:grpSp>
      <xdr:nvGrpSpPr>
        <xdr:cNvPr id="3" name="المجموعة 2">
          <a:extLst>
            <a:ext uri="{FF2B5EF4-FFF2-40B4-BE49-F238E27FC236}">
              <a16:creationId xmlns:a16="http://schemas.microsoft.com/office/drawing/2014/main" id="{F4AC7FE3-2FB4-4A3F-8F6D-E41D0BF24478}"/>
            </a:ext>
          </a:extLst>
        </xdr:cNvPr>
        <xdr:cNvGrpSpPr/>
      </xdr:nvGrpSpPr>
      <xdr:grpSpPr>
        <a:xfrm flipH="1">
          <a:off x="11239119000" y="8430136"/>
          <a:ext cx="3009469" cy="345339"/>
          <a:chOff x="562406" y="11763886"/>
          <a:chExt cx="2895169" cy="364389"/>
        </a:xfrm>
      </xdr:grpSpPr>
      <xdr:sp macro="" textlink="">
        <xdr:nvSpPr>
          <xdr:cNvPr id="93" name="الخطوة" descr="عبارات IF متقدمة مرتبطة ارتباطاً تشعبياً إلى الويب&#10;">
            <a:hlinkClick xmlns:r="http://schemas.openxmlformats.org/officeDocument/2006/relationships" r:id="rId8" tooltip="حدد للاطلاع على جميع الدالات في Excel بالترتيب الأبجدي على ويب"/>
            <a:extLst>
              <a:ext uri="{FF2B5EF4-FFF2-40B4-BE49-F238E27FC236}">
                <a16:creationId xmlns:a16="http://schemas.microsoft.com/office/drawing/2014/main" id="{0C9EBEA8-904F-4B13-9D34-42D4C435F750}"/>
              </a:ext>
            </a:extLst>
          </xdr:cNvPr>
          <xdr:cNvSpPr txBox="1"/>
        </xdr:nvSpPr>
        <xdr:spPr>
          <a:xfrm flipH="1">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دالات Excel (بالترتيب الأبجدي)</a:t>
            </a:r>
          </a:p>
        </xdr:txBody>
      </xdr:sp>
      <xdr:pic>
        <xdr:nvPicPr>
          <xdr:cNvPr id="94" name="الرسم 22" descr="سهم">
            <a:hlinkClick xmlns:r="http://schemas.openxmlformats.org/officeDocument/2006/relationships" r:id="rId8" tooltip="حدد للتعرّف على المزيد من الويب"/>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نص_خلفية الجولة" descr="الخلفية">
          <a:extLst>
            <a:ext uri="{FF2B5EF4-FFF2-40B4-BE49-F238E27FC236}">
              <a16:creationId xmlns:a16="http://schemas.microsoft.com/office/drawing/2014/main" id="{9C42B660-A3B5-4F00-8B62-1A2BC85EB46D}"/>
            </a:ext>
          </a:extLst>
        </xdr:cNvPr>
        <xdr:cNvSpPr/>
      </xdr:nvSpPr>
      <xdr:spPr>
        <a:xfrm flipH="1">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نص_عنوان الجولة" descr="دع معالج الدالة يرشدك">
          <a:extLst>
            <a:ext uri="{FF2B5EF4-FFF2-40B4-BE49-F238E27FC236}">
              <a16:creationId xmlns:a16="http://schemas.microsoft.com/office/drawing/2014/main" id="{83AD9D65-6832-4C8D-9DD3-D366BF3EAA96}"/>
            </a:ext>
          </a:extLst>
        </xdr:cNvPr>
        <xdr:cNvSpPr txBox="1"/>
      </xdr:nvSpPr>
      <xdr:spPr>
        <a:xfrm flipH="1">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دع معالج الدالة يرشدك</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نص_سطر الجولة 1" descr="سطر مزخرف">
          <a:extLst>
            <a:ext uri="{FF2B5EF4-FFF2-40B4-BE49-F238E27FC236}">
              <a16:creationId xmlns:a16="http://schemas.microsoft.com/office/drawing/2014/main" id="{D8FD096E-9957-4C96-9E24-BC15AE704466}"/>
            </a:ext>
          </a:extLst>
        </xdr:cNvPr>
        <xdr:cNvCxnSpPr>
          <a:cxnSpLocks/>
        </xdr:cNvCxnSpPr>
      </xdr:nvCxnSpPr>
      <xdr:spPr>
        <a:xfrm flipH="1">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نص_سطر الجولة 2" descr="سطر مزخرف">
          <a:extLst>
            <a:ext uri="{FF2B5EF4-FFF2-40B4-BE49-F238E27FC236}">
              <a16:creationId xmlns:a16="http://schemas.microsoft.com/office/drawing/2014/main" id="{8AE36029-DE43-4E7F-9235-7AED0D64959D}"/>
            </a:ext>
          </a:extLst>
        </xdr:cNvPr>
        <xdr:cNvCxnSpPr>
          <a:cxnSpLocks/>
        </xdr:cNvCxnSpPr>
      </xdr:nvCxnSpPr>
      <xdr:spPr>
        <a:xfrm flipH="1">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نص_مقدمة الجولة" descr="إذا كنت تعرف اسم الدالة التي تريدها، ولكنك لست متأكداً من كيفية إنشائها، يمكنك استخدام معالج الدالة لمساعدتك.">
          <a:extLst>
            <a:ext uri="{FF2B5EF4-FFF2-40B4-BE49-F238E27FC236}">
              <a16:creationId xmlns:a16="http://schemas.microsoft.com/office/drawing/2014/main" id="{FABEC59D-5AEA-4C46-9000-A7FA99F54DC2}"/>
            </a:ext>
          </a:extLst>
        </xdr:cNvPr>
        <xdr:cNvSpPr txBox="1"/>
      </xdr:nvSpPr>
      <xdr:spPr>
        <a:xfrm flipH="1">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إذا كنت تعرف اسم الدالة التي تريدها، ولكنك لست متأكداً من كيفية إنشائها، يمكنك استخدام معالج الدالة لمساعدتك.</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xdr:from>
      <xdr:col>0</xdr:col>
      <xdr:colOff>576262</xdr:colOff>
      <xdr:row>5</xdr:row>
      <xdr:rowOff>57141</xdr:rowOff>
    </xdr:from>
    <xdr:to>
      <xdr:col>1</xdr:col>
      <xdr:colOff>4943475</xdr:colOff>
      <xdr:row>10</xdr:row>
      <xdr:rowOff>19052</xdr:rowOff>
    </xdr:to>
    <xdr:grpSp>
      <xdr:nvGrpSpPr>
        <xdr:cNvPr id="67" name="مجموعة_الخطوات">
          <a:extLst>
            <a:ext uri="{FF2B5EF4-FFF2-40B4-BE49-F238E27FC236}">
              <a16:creationId xmlns:a16="http://schemas.microsoft.com/office/drawing/2014/main" id="{BD77C92C-5C36-46AE-A637-B10B8A476780}"/>
            </a:ext>
          </a:extLst>
        </xdr:cNvPr>
        <xdr:cNvGrpSpPr/>
      </xdr:nvGrpSpPr>
      <xdr:grpSpPr>
        <a:xfrm flipH="1">
          <a:off x="11236766325" y="1571616"/>
          <a:ext cx="5348288" cy="914411"/>
          <a:chOff x="647700" y="7419975"/>
          <a:chExt cx="5326256" cy="893480"/>
        </a:xfrm>
      </xdr:grpSpPr>
      <xdr:sp macro="" textlink="">
        <xdr:nvSpPr>
          <xdr:cNvPr id="68" name="نص_ الخطوة" descr="حدد الخلية D16، ثم انتقل إلى الصيغ &gt; إدراج دالة &gt; اكتب VLOOKUP في مربع البحث عن الدالات واضغط على GO. عندما ترى VLOOKUP مميزة، انقر فوق موافق في الجزء السفلي. عند تحديد دالة في القائمة، سيعرض Excel بناء الجملة الخاصة بها.&#10;">
            <a:extLst>
              <a:ext uri="{FF2B5EF4-FFF2-40B4-BE49-F238E27FC236}">
                <a16:creationId xmlns:a16="http://schemas.microsoft.com/office/drawing/2014/main" id="{0532D680-62D3-49C1-A9FC-9F775854E3A9}"/>
              </a:ext>
            </a:extLst>
          </xdr:cNvPr>
          <xdr:cNvSpPr txBox="1"/>
        </xdr:nvSpPr>
        <xdr:spPr>
          <a:xfrm flipH="1">
            <a:off x="1079356" y="7459922"/>
            <a:ext cx="4894600" cy="853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حدد الخلية D10، ثم انتقل إلى </a:t>
            </a:r>
            <a:r>
              <a:rPr lang="ar" sz="1100" b="1"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الصيغ</a:t>
            </a:r>
            <a:r>
              <a:rPr lang="ar" sz="1100" b="0"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 &gt; </a:t>
            </a:r>
            <a:r>
              <a:rPr lang="ar" sz="1100" b="1"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إدراج دالة</a:t>
            </a:r>
            <a:r>
              <a:rPr lang="ar" sz="1100" b="0"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&gt; اكتب </a:t>
            </a:r>
            <a:r>
              <a:rPr lang="ar" sz="1100" b="1"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VLOOKUP </a:t>
            </a:r>
            <a:r>
              <a:rPr lang="ar" sz="1100" b="0"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في </a:t>
            </a:r>
            <a:r>
              <a:rPr lang="ar" sz="1100" b="1"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البحث عن دالة</a:t>
            </a:r>
            <a:r>
              <a:rPr lang="ar" sz="1100" b="1" i="0" u="none" strike="noStrike" kern="1200" baseline="0">
                <a:solidFill>
                  <a:schemeClr val="tx1">
                    <a:lumMod val="75000"/>
                    <a:lumOff val="25000"/>
                  </a:schemeClr>
                </a:solidFill>
                <a:effectLst/>
                <a:latin typeface="Tahoma" panose="020B0604030504040204" pitchFamily="34" charset="0"/>
                <a:ea typeface="+mn-ea"/>
                <a:cs typeface="Tahoma" panose="020B0604030504040204" pitchFamily="34" charset="0"/>
              </a:rPr>
              <a:t> </a:t>
            </a:r>
            <a:r>
              <a:rPr lang="ar" sz="1100" b="0" i="0" u="none" strike="noStrike" kern="1200" baseline="0">
                <a:solidFill>
                  <a:schemeClr val="tx1">
                    <a:lumMod val="75000"/>
                    <a:lumOff val="25000"/>
                  </a:schemeClr>
                </a:solidFill>
                <a:effectLst/>
                <a:latin typeface="Tahoma" panose="020B0604030504040204" pitchFamily="34" charset="0"/>
                <a:ea typeface="+mn-ea"/>
                <a:cs typeface="Tahoma" panose="020B0604030504040204" pitchFamily="34" charset="0"/>
              </a:rPr>
              <a:t> </a:t>
            </a:r>
            <a:r>
              <a:rPr lang="ar" sz="1100" b="0"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المربع</a:t>
            </a:r>
            <a:r>
              <a:rPr lang="ar" sz="1100" b="1"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 واضغط على </a:t>
            </a:r>
            <a:r>
              <a:rPr lang="ar" sz="1100" b="0"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GO. عندما ترى أنه تم تمييز </a:t>
            </a:r>
            <a:r>
              <a:rPr lang="ar" sz="1100" b="1"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VLOOKUP</a:t>
            </a:r>
            <a:r>
              <a:rPr lang="ar" sz="1100" b="0"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 انقر فوق </a:t>
            </a:r>
            <a:r>
              <a:rPr lang="ar" sz="1100" b="1"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موافق</a:t>
            </a:r>
            <a:r>
              <a:rPr lang="ar" sz="1100" b="0" i="0" u="none" strike="noStrike" kern="1200">
                <a:solidFill>
                  <a:schemeClr val="tx1">
                    <a:lumMod val="75000"/>
                    <a:lumOff val="25000"/>
                  </a:schemeClr>
                </a:solidFill>
                <a:effectLst/>
                <a:latin typeface="Tahoma" panose="020B0604030504040204" pitchFamily="34" charset="0"/>
                <a:ea typeface="+mn-ea"/>
                <a:cs typeface="Tahoma" panose="020B0604030504040204" pitchFamily="34" charset="0"/>
              </a:rPr>
              <a:t> في الأسفل.</a:t>
            </a:r>
            <a:r>
              <a:rPr lang="ar" sz="1100">
                <a:solidFill>
                  <a:schemeClr val="tx1">
                    <a:lumMod val="75000"/>
                    <a:lumOff val="25000"/>
                  </a:schemeClr>
                </a:solidFill>
                <a:latin typeface="Tahoma" panose="020B0604030504040204" pitchFamily="34" charset="0"/>
                <a:cs typeface="Tahoma" panose="020B0604030504040204" pitchFamily="34" charset="0"/>
              </a:rPr>
              <a:t> عندما تحدد دالة في </a:t>
            </a:r>
            <a:r>
              <a:rPr lang="ar" sz="1100" baseline="0">
                <a:solidFill>
                  <a:schemeClr val="tx1">
                    <a:lumMod val="75000"/>
                    <a:lumOff val="25000"/>
                  </a:schemeClr>
                </a:solidFill>
                <a:latin typeface="Tahoma" panose="020B0604030504040204" pitchFamily="34" charset="0"/>
                <a:cs typeface="Tahoma" panose="020B0604030504040204" pitchFamily="34" charset="0"/>
              </a:rPr>
              <a:t>القائمة، سيعرض Excel بناء الجملة الخاصة بها.</a:t>
            </a: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69" name="شكل_الخطوة" descr="1">
            <a:extLst>
              <a:ext uri="{FF2B5EF4-FFF2-40B4-BE49-F238E27FC236}">
                <a16:creationId xmlns:a16="http://schemas.microsoft.com/office/drawing/2014/main" id="{215648BB-0134-4C42-A6F9-AC13CE6B572C}"/>
              </a:ext>
            </a:extLst>
          </xdr:cNvPr>
          <xdr:cNvSpPr/>
        </xdr:nvSpPr>
        <xdr:spPr>
          <a:xfrm flipH="1">
            <a:off x="647700"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a:latin typeface="Tahoma" panose="020B0604030504040204" pitchFamily="34" charset="0"/>
                <a:cs typeface="Tahoma" panose="020B0604030504040204" pitchFamily="34" charset="0"/>
              </a:rPr>
              <a:t>1</a:t>
            </a:r>
          </a:p>
        </xdr:txBody>
      </xdr:sp>
    </xdr:grpSp>
    <xdr:clientData/>
  </xdr:twoCellAnchor>
  <xdr:twoCellAnchor>
    <xdr:from>
      <xdr:col>0</xdr:col>
      <xdr:colOff>576262</xdr:colOff>
      <xdr:row>10</xdr:row>
      <xdr:rowOff>80962</xdr:rowOff>
    </xdr:from>
    <xdr:to>
      <xdr:col>1</xdr:col>
      <xdr:colOff>4905374</xdr:colOff>
      <xdr:row>15</xdr:row>
      <xdr:rowOff>9523</xdr:rowOff>
    </xdr:to>
    <xdr:grpSp>
      <xdr:nvGrpSpPr>
        <xdr:cNvPr id="71" name="مجموعة_الخطوات">
          <a:extLst>
            <a:ext uri="{FF2B5EF4-FFF2-40B4-BE49-F238E27FC236}">
              <a16:creationId xmlns:a16="http://schemas.microsoft.com/office/drawing/2014/main" id="{BF405A0F-7FA6-4E62-A4D2-D48FD5B37F21}"/>
            </a:ext>
          </a:extLst>
        </xdr:cNvPr>
        <xdr:cNvGrpSpPr/>
      </xdr:nvGrpSpPr>
      <xdr:grpSpPr>
        <a:xfrm flipH="1">
          <a:off x="11236804426" y="2547937"/>
          <a:ext cx="5310187" cy="842961"/>
          <a:chOff x="609600" y="7810500"/>
          <a:chExt cx="5186234" cy="876582"/>
        </a:xfrm>
      </xdr:grpSpPr>
      <xdr:sp macro="" textlink="">
        <xdr:nvSpPr>
          <xdr:cNvPr id="72" name="نص_ الخطوة" descr="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10;&#10;">
            <a:extLst>
              <a:ext uri="{FF2B5EF4-FFF2-40B4-BE49-F238E27FC236}">
                <a16:creationId xmlns:a16="http://schemas.microsoft.com/office/drawing/2014/main" id="{A358580A-E770-426C-AC4A-D3576DB6F54D}"/>
              </a:ext>
            </a:extLst>
          </xdr:cNvPr>
          <xdr:cNvSpPr txBox="1"/>
        </xdr:nvSpPr>
        <xdr:spPr>
          <a:xfrm flipH="1">
            <a:off x="1017295" y="7852458"/>
            <a:ext cx="4778539" cy="834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بعد ذلك، أدخل وسيطات الدالة في مربعات النص الخاصة بها. بينما تقوم بإدخال كل واحدة، سيقوم Excel بتقييمها، وإظهار النتيجة، مع النتيجة النهائية في الأسفل. اضغط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موافق</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عند الانتهاء، وسيقوم Excel بإدخال الصيغة بالنيابة عنك.</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73" name="شكل_الخطوة" descr="2">
            <a:extLst>
              <a:ext uri="{FF2B5EF4-FFF2-40B4-BE49-F238E27FC236}">
                <a16:creationId xmlns:a16="http://schemas.microsoft.com/office/drawing/2014/main" id="{C005430B-3DD1-4151-A947-1D4633E6F168}"/>
              </a:ext>
            </a:extLst>
          </xdr:cNvPr>
          <xdr:cNvSpPr/>
        </xdr:nvSpPr>
        <xdr:spPr>
          <a:xfrm flipH="1">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a:latin typeface="Tahoma" panose="020B0604030504040204" pitchFamily="34" charset="0"/>
                <a:cs typeface="Tahoma" panose="020B0604030504040204" pitchFamily="34" charset="0"/>
              </a:rPr>
              <a:t>2</a:t>
            </a:r>
          </a:p>
        </xdr:txBody>
      </xdr:sp>
    </xdr:grpSp>
    <xdr:clientData/>
  </xdr:twoCellAnchor>
  <xdr:twoCellAnchor editAs="absolute">
    <xdr:from>
      <xdr:col>0</xdr:col>
      <xdr:colOff>571500</xdr:colOff>
      <xdr:row>31</xdr:row>
      <xdr:rowOff>93664</xdr:rowOff>
    </xdr:from>
    <xdr:to>
      <xdr:col>1</xdr:col>
      <xdr:colOff>893625</xdr:colOff>
      <xdr:row>33</xdr:row>
      <xdr:rowOff>60813</xdr:rowOff>
    </xdr:to>
    <xdr:sp macro="" textlink="">
      <xdr:nvSpPr>
        <xdr:cNvPr id="74" name="الزر_السابق" descr="الرجوع إلى الورقة السابقة">
          <a:hlinkClick xmlns:r="http://schemas.openxmlformats.org/officeDocument/2006/relationships" r:id="rId9" tooltip="انقر هنا للعودة إلى الورقة السابقة"/>
          <a:extLst>
            <a:ext uri="{FF2B5EF4-FFF2-40B4-BE49-F238E27FC236}">
              <a16:creationId xmlns:a16="http://schemas.microsoft.com/office/drawing/2014/main" id="{5E40797B-36B9-4C1B-9AE0-EA6AD5EEF027}"/>
            </a:ext>
          </a:extLst>
        </xdr:cNvPr>
        <xdr:cNvSpPr/>
      </xdr:nvSpPr>
      <xdr:spPr>
        <a:xfrm>
          <a:off x="11240816175" y="6370639"/>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clientData fPrintsWithSheet="0"/>
  </xdr:twoCellAnchor>
  <xdr:twoCellAnchor editAs="absolute">
    <xdr:from>
      <xdr:col>1</xdr:col>
      <xdr:colOff>3562350</xdr:colOff>
      <xdr:row>31</xdr:row>
      <xdr:rowOff>112714</xdr:rowOff>
    </xdr:from>
    <xdr:to>
      <xdr:col>1</xdr:col>
      <xdr:colOff>4865550</xdr:colOff>
      <xdr:row>33</xdr:row>
      <xdr:rowOff>79863</xdr:rowOff>
    </xdr:to>
    <xdr:sp macro="" textlink="">
      <xdr:nvSpPr>
        <xdr:cNvPr id="75" name="الزر_التالي" descr="التقدم إلى الورقة التالية">
          <a:hlinkClick xmlns:r="http://schemas.openxmlformats.org/officeDocument/2006/relationships" r:id="rId10" tooltip="انقر هنا للتقدم إلى الورقة التالية"/>
          <a:extLst>
            <a:ext uri="{FF2B5EF4-FFF2-40B4-BE49-F238E27FC236}">
              <a16:creationId xmlns:a16="http://schemas.microsoft.com/office/drawing/2014/main" id="{1C0B3F5D-086A-4A30-A12D-A0A3DB6D24E2}"/>
            </a:ext>
          </a:extLst>
        </xdr:cNvPr>
        <xdr:cNvSpPr/>
      </xdr:nvSpPr>
      <xdr:spPr>
        <a:xfrm flipH="1">
          <a:off x="11236844250" y="6389689"/>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fPrintsWithSheet="0"/>
  </xdr:twoCellAnchor>
  <xdr:twoCellAnchor editAs="oneCell">
    <xdr:from>
      <xdr:col>1</xdr:col>
      <xdr:colOff>228600</xdr:colOff>
      <xdr:row>16</xdr:row>
      <xdr:rowOff>2683</xdr:rowOff>
    </xdr:from>
    <xdr:to>
      <xdr:col>1</xdr:col>
      <xdr:colOff>4572000</xdr:colOff>
      <xdr:row>29</xdr:row>
      <xdr:rowOff>40335</xdr:rowOff>
    </xdr:to>
    <xdr:pic>
      <xdr:nvPicPr>
        <xdr:cNvPr id="7" name="الصورة 6" descr="مربع حوار وسيطات الدالة VLOOKUP">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11237137800" y="3565033"/>
          <a:ext cx="4343400" cy="2390327"/>
        </a:xfrm>
        <a:prstGeom prst="rect">
          <a:avLst/>
        </a:prstGeom>
      </xdr:spPr>
    </xdr:pic>
    <xdr:clientData/>
  </xdr:twoCellAnchor>
  <xdr:twoCellAnchor>
    <xdr:from>
      <xdr:col>1</xdr:col>
      <xdr:colOff>1544364</xdr:colOff>
      <xdr:row>16</xdr:row>
      <xdr:rowOff>66379</xdr:rowOff>
    </xdr:from>
    <xdr:to>
      <xdr:col>6</xdr:col>
      <xdr:colOff>571500</xdr:colOff>
      <xdr:row>35</xdr:row>
      <xdr:rowOff>163387</xdr:rowOff>
    </xdr:to>
    <xdr:grpSp>
      <xdr:nvGrpSpPr>
        <xdr:cNvPr id="8" name="المجموعة 7">
          <a:extLst>
            <a:ext uri="{FF2B5EF4-FFF2-40B4-BE49-F238E27FC236}">
              <a16:creationId xmlns:a16="http://schemas.microsoft.com/office/drawing/2014/main" id="{8F43BB86-459B-4A39-BF41-D15966065CB8}"/>
            </a:ext>
          </a:extLst>
        </xdr:cNvPr>
        <xdr:cNvGrpSpPr/>
      </xdr:nvGrpSpPr>
      <xdr:grpSpPr>
        <a:xfrm flipH="1">
          <a:off x="11231460900" y="3628729"/>
          <a:ext cx="8704536" cy="3535533"/>
          <a:chOff x="2411139" y="6952954"/>
          <a:chExt cx="7523436" cy="3716508"/>
        </a:xfrm>
      </xdr:grpSpPr>
      <xdr:grpSp>
        <xdr:nvGrpSpPr>
          <xdr:cNvPr id="96" name="مجموعة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من الرائع معرفة أنه" descr="من الرائع معرفة أن&#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الرسم 147" descr="نظارات">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flipH="1">
                <a:off x="6778625" y="15564811"/>
                <a:ext cx="323347" cy="349115"/>
              </a:xfrm>
              <a:prstGeom prst="rect">
                <a:avLst/>
              </a:prstGeom>
            </xdr:spPr>
          </xdr:pic>
          <xdr:sp macro="" textlink="">
            <xdr:nvSpPr>
              <xdr:cNvPr id="99" name="الخطوة" descr="GOOD TO KNOW&#10;You can type cell and range references, or select them with your mouse.&#10;&#10;">
                <a:extLst>
                  <a:ext uri="{FF2B5EF4-FFF2-40B4-BE49-F238E27FC236}">
                    <a16:creationId xmlns:a16="http://schemas.microsoft.com/office/drawing/2014/main" id="{F0AD040B-5C25-478A-B090-2BEE04AE7896}"/>
                  </a:ext>
                </a:extLst>
              </xdr:cNvPr>
              <xdr:cNvSpPr txBox="1"/>
            </xdr:nvSpPr>
            <xdr:spPr>
              <a:xfrm flipH="1">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من الرائع معرفة أنه</a:t>
                </a:r>
                <a:endParaRPr lang="en-US" sz="1200" b="1">
                  <a:solidFill>
                    <a:srgbClr val="ED7D31">
                      <a:lumMod val="60000"/>
                      <a:lumOff val="40000"/>
                    </a:srgbClr>
                  </a:solidFill>
                  <a:latin typeface="+mj-lt"/>
                  <a:ea typeface="Segoe UI"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mn-lt"/>
                    <a:ea typeface="+mn-ea"/>
                    <a:cs typeface="Tahoma" panose="020B0604030504040204" pitchFamily="34" charset="0"/>
                  </a:rPr>
                  <a:t>يمكنك كتابة مراجع الخلية والنطاق أو تحديدها باستخدام الماوس.</a:t>
                </a:r>
                <a:endParaRPr lang="en-US" sz="1100">
                  <a:effectLst/>
                  <a:latin typeface="+mn-lt"/>
                  <a:cs typeface="Tahoma" panose="020B0604030504040204" pitchFamily="34" charset="0"/>
                </a:endParaRPr>
              </a:p>
            </xdr:txBody>
          </xdr:sp>
        </xdr:grpSp>
        <xdr:cxnSp macro="">
          <xdr:nvCxnSpPr>
            <xdr:cNvPr id="98" name="موصل: منحنى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من الرائع معرفة أنه" descr="من الرائع معرفة أن&#10;&#10;">
            <a:extLst>
              <a:ext uri="{FF2B5EF4-FFF2-40B4-BE49-F238E27FC236}">
                <a16:creationId xmlns:a16="http://schemas.microsoft.com/office/drawing/2014/main" id="{822A9B89-A4CF-41F0-9CCC-5CA5434235A5}"/>
              </a:ext>
            </a:extLst>
          </xdr:cNvPr>
          <xdr:cNvGrpSpPr/>
        </xdr:nvGrpSpPr>
        <xdr:grpSpPr>
          <a:xfrm>
            <a:off x="2411139" y="8673756"/>
            <a:ext cx="7523436" cy="1995706"/>
            <a:chOff x="2779964" y="15904785"/>
            <a:chExt cx="6772887" cy="1916900"/>
          </a:xfrm>
        </xdr:grpSpPr>
        <xdr:pic>
          <xdr:nvPicPr>
            <xdr:cNvPr id="103" name="الرسم 147" descr="نظارات">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flipH="1">
              <a:off x="6120676" y="16141192"/>
              <a:ext cx="323347" cy="349115"/>
            </a:xfrm>
            <a:prstGeom prst="rect">
              <a:avLst/>
            </a:prstGeom>
          </xdr:spPr>
        </xdr:pic>
        <xdr:sp macro="" textlink="">
          <xdr:nvSpPr>
            <xdr:cNvPr id="102" name="الخطوة" descr="GOOD TO KNOW&#10;As you enter each argument's section, the argument's description will be displayed toward the bottom of the form, above the Formula result.&#10;">
              <a:extLst>
                <a:ext uri="{FF2B5EF4-FFF2-40B4-BE49-F238E27FC236}">
                  <a16:creationId xmlns:a16="http://schemas.microsoft.com/office/drawing/2014/main" id="{F8A28036-EB7B-47D2-8921-DEDF7787534A}"/>
                </a:ext>
              </a:extLst>
            </xdr:cNvPr>
            <xdr:cNvSpPr txBox="1"/>
          </xdr:nvSpPr>
          <xdr:spPr>
            <a:xfrm flipH="1">
              <a:off x="6385009" y="16196085"/>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من الرائع معرفة أن</a:t>
              </a:r>
              <a:endParaRPr lang="en-US" sz="1200" b="1">
                <a:solidFill>
                  <a:srgbClr val="ED7D31">
                    <a:lumMod val="60000"/>
                    <a:lumOff val="40000"/>
                  </a:srgbClr>
                </a:solidFill>
                <a:latin typeface="+mj-lt"/>
                <a:ea typeface="Segoe UI" pitchFamily="34" charset="0"/>
                <a:cs typeface="Tahoma" panose="020B0604030504040204" pitchFamily="34" charset="0"/>
              </a:endParaRPr>
            </a:p>
            <a:p>
              <a:pPr algn="r" rtl="1" eaLnBrk="1" fontAlgn="auto" latinLnBrk="0" hangingPunct="1"/>
              <a:r>
                <a:rPr lang="ar" sz="1100" b="0" i="0" kern="1200" baseline="0">
                  <a:solidFill>
                    <a:schemeClr val="dk1"/>
                  </a:solidFill>
                  <a:effectLst/>
                  <a:latin typeface="+mn-lt"/>
                  <a:ea typeface="+mn-ea"/>
                  <a:cs typeface="Tahoma" panose="020B0604030504040204" pitchFamily="34" charset="0"/>
                </a:rPr>
                <a:t>عند إدخال كل مقطع وسيطة، سيتم عرض وصف للوسيطة أسفل النموذج وفوق نتيجة الصيغة.</a:t>
              </a:r>
              <a:endParaRPr lang="en-US" sz="1100">
                <a:effectLst/>
                <a:latin typeface="+mn-lt"/>
                <a:cs typeface="Tahoma" panose="020B0604030504040204" pitchFamily="34" charset="0"/>
              </a:endParaRPr>
            </a:p>
          </xdr:txBody>
        </xdr:sp>
        <xdr:sp macro="" textlink="">
          <xdr:nvSpPr>
            <xdr:cNvPr id="104" name="شكل حر: الشكل 103" descr="سهم">
              <a:extLst>
                <a:ext uri="{FF2B5EF4-FFF2-40B4-BE49-F238E27FC236}">
                  <a16:creationId xmlns:a16="http://schemas.microsoft.com/office/drawing/2014/main" id="{41D03DA7-0CB4-4D50-87B6-9CBB73CABAAD}"/>
                </a:ext>
              </a:extLst>
            </xdr:cNvPr>
            <xdr:cNvSpPr/>
          </xdr:nvSpPr>
          <xdr:spPr>
            <a:xfrm rot="16200000" flipH="1" flipV="1">
              <a:off x="4551447" y="14133302"/>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351226</xdr:colOff>
      <xdr:row>0</xdr:row>
      <xdr:rowOff>361951</xdr:rowOff>
    </xdr:from>
    <xdr:to>
      <xdr:col>1</xdr:col>
      <xdr:colOff>5210175</xdr:colOff>
      <xdr:row>48</xdr:row>
      <xdr:rowOff>142876</xdr:rowOff>
    </xdr:to>
    <xdr:sp macro="" textlink="">
      <xdr:nvSpPr>
        <xdr:cNvPr id="49" name="نص_خلفية الجولة" descr="الخلفية">
          <a:extLst>
            <a:ext uri="{FF2B5EF4-FFF2-40B4-BE49-F238E27FC236}">
              <a16:creationId xmlns:a16="http://schemas.microsoft.com/office/drawing/2014/main" id="{82635223-B159-4E05-9CEC-2A2F6DF969F2}"/>
            </a:ext>
          </a:extLst>
        </xdr:cNvPr>
        <xdr:cNvSpPr/>
      </xdr:nvSpPr>
      <xdr:spPr>
        <a:xfrm flipH="1">
          <a:off x="11236518675" y="361951"/>
          <a:ext cx="5840024" cy="9144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565155</xdr:colOff>
      <xdr:row>0</xdr:row>
      <xdr:rowOff>457200</xdr:rowOff>
    </xdr:from>
    <xdr:to>
      <xdr:col>1</xdr:col>
      <xdr:colOff>4524377</xdr:colOff>
      <xdr:row>2</xdr:row>
      <xdr:rowOff>9526</xdr:rowOff>
    </xdr:to>
    <xdr:sp macro="" textlink="">
      <xdr:nvSpPr>
        <xdr:cNvPr id="50" name="نص_عنوان الجولة" descr="تصحيح أخطاء الصيغ">
          <a:extLst>
            <a:ext uri="{FF2B5EF4-FFF2-40B4-BE49-F238E27FC236}">
              <a16:creationId xmlns:a16="http://schemas.microsoft.com/office/drawing/2014/main" id="{05227845-B4BB-432C-8781-4109C43593D7}"/>
            </a:ext>
          </a:extLst>
        </xdr:cNvPr>
        <xdr:cNvSpPr txBox="1"/>
      </xdr:nvSpPr>
      <xdr:spPr>
        <a:xfrm flipH="1">
          <a:off x="11237204473" y="457200"/>
          <a:ext cx="4940297"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تصحيح أخطاء الصيغ</a:t>
          </a:r>
        </a:p>
      </xdr:txBody>
    </xdr:sp>
    <xdr:clientData/>
  </xdr:twoCellAnchor>
  <xdr:twoCellAnchor editAs="absolute">
    <xdr:from>
      <xdr:col>0</xdr:col>
      <xdr:colOff>565153</xdr:colOff>
      <xdr:row>2</xdr:row>
      <xdr:rowOff>76201</xdr:rowOff>
    </xdr:from>
    <xdr:to>
      <xdr:col>1</xdr:col>
      <xdr:colOff>4914900</xdr:colOff>
      <xdr:row>2</xdr:row>
      <xdr:rowOff>76201</xdr:rowOff>
    </xdr:to>
    <xdr:cxnSp macro="">
      <xdr:nvCxnSpPr>
        <xdr:cNvPr id="51" name="نص_سطر الجولة 1" descr="سطر مزخرف">
          <a:extLst>
            <a:ext uri="{FF2B5EF4-FFF2-40B4-BE49-F238E27FC236}">
              <a16:creationId xmlns:a16="http://schemas.microsoft.com/office/drawing/2014/main" id="{667B22D5-9F0D-4C3A-94F4-DCD9CA9B8E5C}"/>
            </a:ext>
          </a:extLst>
        </xdr:cNvPr>
        <xdr:cNvCxnSpPr>
          <a:cxnSpLocks/>
        </xdr:cNvCxnSpPr>
      </xdr:nvCxnSpPr>
      <xdr:spPr>
        <a:xfrm flipH="1">
          <a:off x="11236813950" y="1028701"/>
          <a:ext cx="533082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45</xdr:row>
      <xdr:rowOff>81491</xdr:rowOff>
    </xdr:from>
    <xdr:to>
      <xdr:col>1</xdr:col>
      <xdr:colOff>4953000</xdr:colOff>
      <xdr:row>45</xdr:row>
      <xdr:rowOff>81491</xdr:rowOff>
    </xdr:to>
    <xdr:cxnSp macro="">
      <xdr:nvCxnSpPr>
        <xdr:cNvPr id="52" name="نص_سطر الجولة 2" descr="سطر مزخرف">
          <a:extLst>
            <a:ext uri="{FF2B5EF4-FFF2-40B4-BE49-F238E27FC236}">
              <a16:creationId xmlns:a16="http://schemas.microsoft.com/office/drawing/2014/main" id="{B4EB5A39-3087-404B-86D1-9EB6F9D1ABB3}"/>
            </a:ext>
          </a:extLst>
        </xdr:cNvPr>
        <xdr:cNvCxnSpPr>
          <a:cxnSpLocks/>
        </xdr:cNvCxnSpPr>
      </xdr:nvCxnSpPr>
      <xdr:spPr>
        <a:xfrm flipH="1">
          <a:off x="11236775850" y="8901641"/>
          <a:ext cx="536892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4895850</xdr:colOff>
      <xdr:row>7</xdr:row>
      <xdr:rowOff>14520</xdr:rowOff>
    </xdr:to>
    <xdr:sp macro="" textlink="">
      <xdr:nvSpPr>
        <xdr:cNvPr id="53" name="نص_مقدمة الجولة" descr="أحياناً في الوقت، ستواجه صيغة تحتوي على رسالة خطأ، التي سيعرضها Excel مع #ErrorName!. يمكن أن تكون الأخطاء مفيدة، نظراً لأنه في حالة عدم عمل شيء ما بشكل صحيح تقوم بالإشارة إليه، ولكن يمكن أن يكون من الصعب إصلاح المشكلة. ولحسن الحظ، هناك العديد من الخيارات التي يمكن أن تساعدك على تعقب مصدر الخطأ وإصلاحه.">
          <a:extLst>
            <a:ext uri="{FF2B5EF4-FFF2-40B4-BE49-F238E27FC236}">
              <a16:creationId xmlns:a16="http://schemas.microsoft.com/office/drawing/2014/main" id="{129F9FEB-45A7-4164-9E1F-0EF1DB2D9BC8}"/>
            </a:ext>
          </a:extLst>
        </xdr:cNvPr>
        <xdr:cNvSpPr txBox="1"/>
      </xdr:nvSpPr>
      <xdr:spPr>
        <a:xfrm flipH="1">
          <a:off x="11236833000" y="1062116"/>
          <a:ext cx="5305262" cy="819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أحياناً في الوقت، ستواجه صيغة تحتوي على رسالة خطأ، التي سيعرضها Excel مع #ErrorName. يمكن أن تكون الأخطاء مفيدة، نظراً لأنه في حالة عدم عمل شيء ما بشكل صحيح تقوم بالإشارة إليه، ولكن يمكن أن يكون من الصعب إصلاح المشكلة. لحسن الحظ، هناك العديد من الخيارات يمكنها أن تساعدك في تعقب مصدر الخطأ وحله.</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endParaRPr>
        </a:p>
      </xdr:txBody>
    </xdr:sp>
    <xdr:clientData/>
  </xdr:twoCellAnchor>
  <xdr:twoCellAnchor editAs="absolute">
    <xdr:from>
      <xdr:col>0</xdr:col>
      <xdr:colOff>666924</xdr:colOff>
      <xdr:row>7</xdr:row>
      <xdr:rowOff>44450</xdr:rowOff>
    </xdr:from>
    <xdr:to>
      <xdr:col>1</xdr:col>
      <xdr:colOff>4676775</xdr:colOff>
      <xdr:row>12</xdr:row>
      <xdr:rowOff>142875</xdr:rowOff>
    </xdr:to>
    <xdr:grpSp>
      <xdr:nvGrpSpPr>
        <xdr:cNvPr id="2" name="المجموعة 1">
          <a:extLst>
            <a:ext uri="{FF2B5EF4-FFF2-40B4-BE49-F238E27FC236}">
              <a16:creationId xmlns:a16="http://schemas.microsoft.com/office/drawing/2014/main" id="{A8B5C958-0EB2-41E2-B876-52C03CDCE6CA}"/>
            </a:ext>
          </a:extLst>
        </xdr:cNvPr>
        <xdr:cNvGrpSpPr/>
      </xdr:nvGrpSpPr>
      <xdr:grpSpPr>
        <a:xfrm flipH="1">
          <a:off x="11237052075" y="1911350"/>
          <a:ext cx="4990926" cy="1041400"/>
          <a:chOff x="571500" y="1924050"/>
          <a:chExt cx="5229626" cy="1057275"/>
        </a:xfrm>
      </xdr:grpSpPr>
      <xdr:sp macro="" textlink="">
        <xdr:nvSpPr>
          <xdr:cNvPr id="55" name="نص_ الخطوة" descr="تدقيق الأخطاء - انتقل إلى الصيغ &gt; تدقيق الأخطاء. سيؤدي ذلك إلى تحميل حوار يخبرك بالسبب العام للخطأ المحدد لديك. في الخلية D9، يحدث الخطأ #N/A بسبب عدم وجود قيمة تطابق “التفاح”. يمكنك إصلاح ذلك باستخدام قيمة موجودة أو منع الخطأ باستخدام الدالة IFERROR أو تجاهل ذلك ومعرفة أنه سيختفي عند استخدام قيمة موجودة.">
            <a:extLst>
              <a:ext uri="{FF2B5EF4-FFF2-40B4-BE49-F238E27FC236}">
                <a16:creationId xmlns:a16="http://schemas.microsoft.com/office/drawing/2014/main" id="{4AE4624F-481E-4B9E-ABC2-5B221D8CD197}"/>
              </a:ext>
            </a:extLst>
          </xdr:cNvPr>
          <xdr:cNvSpPr txBox="1"/>
        </xdr:nvSpPr>
        <xdr:spPr>
          <a:xfrm flipH="1">
            <a:off x="991382" y="1966008"/>
            <a:ext cx="4809744" cy="1015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تدقيق الأخطاء - انتقل إلى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الصيغ</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&gt;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تدقيق الأخطاء</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سيقوم هذا بتحميل مربع الحوار الذي سيخبرك بالسبب العام للخطأ المحدد. في الخلية D9، يحدث الخطأ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#N/A</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نظراً لعدم وجود أية قيمة تطابق "تفاح". يمكنك إصلاح ذلك باستخدام قيمة موجودة أو منع الخطأ باستخدام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الدالة IFERROR</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أو تجاهل ذلك ومعرفة أنه سيختفي عند استخدام قيمة موجودة.</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56" name="شكل_الخطوة" descr="1">
            <a:extLst>
              <a:ext uri="{FF2B5EF4-FFF2-40B4-BE49-F238E27FC236}">
                <a16:creationId xmlns:a16="http://schemas.microsoft.com/office/drawing/2014/main" id="{43E4B612-0808-41AF-A8A5-FADFD6E77931}"/>
              </a:ext>
            </a:extLst>
          </xdr:cNvPr>
          <xdr:cNvSpPr/>
        </xdr:nvSpPr>
        <xdr:spPr>
          <a:xfrm flipH="1">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1</a:t>
            </a:r>
          </a:p>
        </xdr:txBody>
      </xdr:sp>
    </xdr:grpSp>
    <xdr:clientData/>
  </xdr:twoCellAnchor>
  <xdr:twoCellAnchor editAs="absolute">
    <xdr:from>
      <xdr:col>1</xdr:col>
      <xdr:colOff>27737</xdr:colOff>
      <xdr:row>12</xdr:row>
      <xdr:rowOff>171450</xdr:rowOff>
    </xdr:from>
    <xdr:to>
      <xdr:col>1</xdr:col>
      <xdr:colOff>4202252</xdr:colOff>
      <xdr:row>23</xdr:row>
      <xdr:rowOff>56912</xdr:rowOff>
    </xdr:to>
    <xdr:pic>
      <xdr:nvPicPr>
        <xdr:cNvPr id="57" name="الصورة 56" descr="مربع حوار تدقيق الأخطاء">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1237526598" y="2981325"/>
          <a:ext cx="4174515" cy="1876187"/>
        </a:xfrm>
        <a:prstGeom prst="rect">
          <a:avLst/>
        </a:prstGeom>
      </xdr:spPr>
    </xdr:pic>
    <xdr:clientData/>
  </xdr:twoCellAnchor>
  <xdr:twoCellAnchor editAs="absolute">
    <xdr:from>
      <xdr:col>0</xdr:col>
      <xdr:colOff>666924</xdr:colOff>
      <xdr:row>23</xdr:row>
      <xdr:rowOff>100013</xdr:rowOff>
    </xdr:from>
    <xdr:to>
      <xdr:col>1</xdr:col>
      <xdr:colOff>4619625</xdr:colOff>
      <xdr:row>27</xdr:row>
      <xdr:rowOff>73025</xdr:rowOff>
    </xdr:to>
    <xdr:grpSp>
      <xdr:nvGrpSpPr>
        <xdr:cNvPr id="3" name="المجموعة 2">
          <a:extLst>
            <a:ext uri="{FF2B5EF4-FFF2-40B4-BE49-F238E27FC236}">
              <a16:creationId xmlns:a16="http://schemas.microsoft.com/office/drawing/2014/main" id="{76285975-E71E-42A6-9427-0A2776DA5CC0}"/>
            </a:ext>
          </a:extLst>
        </xdr:cNvPr>
        <xdr:cNvGrpSpPr/>
      </xdr:nvGrpSpPr>
      <xdr:grpSpPr>
        <a:xfrm flipH="1">
          <a:off x="11237109225" y="4900613"/>
          <a:ext cx="4933776" cy="696912"/>
          <a:chOff x="571500" y="4957763"/>
          <a:chExt cx="5229626" cy="709612"/>
        </a:xfrm>
      </xdr:grpSpPr>
      <xdr:sp macro="" textlink="">
        <xdr:nvSpPr>
          <xdr:cNvPr id="59" name="نص_ الخطوة" descr="إذا نقرت فوق تعليمات حول هذا الخطأ، فسيتم فتح موضوع التعليمات مخصص لرسالة الخطأ. وإذا نقرت فوق إظهار خطوات الحساب، فسيتم تحميل مربع حوار تقييم صيغة.">
            <a:extLst>
              <a:ext uri="{FF2B5EF4-FFF2-40B4-BE49-F238E27FC236}">
                <a16:creationId xmlns:a16="http://schemas.microsoft.com/office/drawing/2014/main" id="{FF0A2293-1E29-453D-8C23-E342D71BA90C}"/>
              </a:ext>
            </a:extLst>
          </xdr:cNvPr>
          <xdr:cNvSpPr txBox="1"/>
        </xdr:nvSpPr>
        <xdr:spPr>
          <a:xfrm flipH="1">
            <a:off x="991382" y="4999721"/>
            <a:ext cx="4809744" cy="66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إذا نقرت فوق</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تعليمات حول هذا الخطأ، فسيتم فتح موضوع التعليمات مخصص لرسالة الخطأ. إذا نقرت فوق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إظهار خطوات الحساب</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فسيتم تحميل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تقييم صيغةمربع الحوار.</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60" name="شكل_الخطوة" descr="2">
            <a:extLst>
              <a:ext uri="{FF2B5EF4-FFF2-40B4-BE49-F238E27FC236}">
                <a16:creationId xmlns:a16="http://schemas.microsoft.com/office/drawing/2014/main" id="{327670C7-0119-4540-9264-05979CE88199}"/>
              </a:ext>
            </a:extLst>
          </xdr:cNvPr>
          <xdr:cNvSpPr/>
        </xdr:nvSpPr>
        <xdr:spPr>
          <a:xfrm flipH="1">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2</a:t>
            </a:r>
          </a:p>
        </xdr:txBody>
      </xdr:sp>
    </xdr:grpSp>
    <xdr:clientData/>
  </xdr:twoCellAnchor>
  <xdr:twoCellAnchor editAs="absolute">
    <xdr:from>
      <xdr:col>0</xdr:col>
      <xdr:colOff>686721</xdr:colOff>
      <xdr:row>27</xdr:row>
      <xdr:rowOff>49643</xdr:rowOff>
    </xdr:from>
    <xdr:to>
      <xdr:col>1</xdr:col>
      <xdr:colOff>4381500</xdr:colOff>
      <xdr:row>40</xdr:row>
      <xdr:rowOff>42103</xdr:rowOff>
    </xdr:to>
    <xdr:pic>
      <xdr:nvPicPr>
        <xdr:cNvPr id="61" name="الصورة 60" descr="مربع حوار تقييم صيغة">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11237347350" y="5574143"/>
          <a:ext cx="4675854" cy="2383235"/>
        </a:xfrm>
        <a:prstGeom prst="rect">
          <a:avLst/>
        </a:prstGeom>
      </xdr:spPr>
    </xdr:pic>
    <xdr:clientData/>
  </xdr:twoCellAnchor>
  <xdr:twoCellAnchor editAs="absolute">
    <xdr:from>
      <xdr:col>0</xdr:col>
      <xdr:colOff>666924</xdr:colOff>
      <xdr:row>40</xdr:row>
      <xdr:rowOff>133350</xdr:rowOff>
    </xdr:from>
    <xdr:to>
      <xdr:col>1</xdr:col>
      <xdr:colOff>4752975</xdr:colOff>
      <xdr:row>45</xdr:row>
      <xdr:rowOff>60325</xdr:rowOff>
    </xdr:to>
    <xdr:grpSp>
      <xdr:nvGrpSpPr>
        <xdr:cNvPr id="4" name="المجموعة 3">
          <a:extLst>
            <a:ext uri="{FF2B5EF4-FFF2-40B4-BE49-F238E27FC236}">
              <a16:creationId xmlns:a16="http://schemas.microsoft.com/office/drawing/2014/main" id="{85545FAE-3743-4F8E-97DB-E0C750FA7DE7}"/>
            </a:ext>
          </a:extLst>
        </xdr:cNvPr>
        <xdr:cNvGrpSpPr/>
      </xdr:nvGrpSpPr>
      <xdr:grpSpPr>
        <a:xfrm flipH="1">
          <a:off x="11236975875" y="8048625"/>
          <a:ext cx="5067126" cy="831850"/>
          <a:chOff x="571500" y="8372475"/>
          <a:chExt cx="5229626" cy="847725"/>
        </a:xfrm>
      </xdr:grpSpPr>
      <xdr:sp macro="" textlink="">
        <xdr:nvSpPr>
          <xdr:cNvPr id="63" name="نص_ الخطوة" descr="كل مرة تنقر فوق تقييم، سيقوم Excel بالانتقال خلال الصيغة مقطع واحد في كل مرة. ليس من الضروري إخبارك بسبب حدوث الخطأ، ولكن ستتم الإشارة إلى مكانه.">
            <a:extLst>
              <a:ext uri="{FF2B5EF4-FFF2-40B4-BE49-F238E27FC236}">
                <a16:creationId xmlns:a16="http://schemas.microsoft.com/office/drawing/2014/main" id="{0D6FDE98-287E-402E-9C3F-81CD5951F461}"/>
              </a:ext>
            </a:extLst>
          </xdr:cNvPr>
          <xdr:cNvSpPr txBox="1"/>
        </xdr:nvSpPr>
        <xdr:spPr>
          <a:xfrm flipH="1">
            <a:off x="991382" y="8414433"/>
            <a:ext cx="4809744" cy="805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كل مرة تنقر فوق </a:t>
            </a:r>
            <a:r>
              <a:rPr lang="ar" sz="1100" b="1"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تقييم</a:t>
            </a:r>
            <a:r>
              <a:rPr lang="ar"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rPr>
              <a:t>، سيقوم Excel بالانتقال خلال الصيغة مقطع واحد في كل مرة. ليس من الضروري إخبارك بسبب حدوث الخطأ، ولكن ستتم الإشارة إلى مكانه. من هناك، يمكنك الاطلاع على موضوع التعليمات لاستنتاج الخطأ الذي حدث للصيغة الخاصة بك.</a:t>
            </a:r>
          </a:p>
          <a:p>
            <a:pPr marL="0" marR="0" lvl="0" indent="0" algn="r" defTabSz="914400" rtl="1"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Tahoma" panose="020B0604030504040204" pitchFamily="34" charset="0"/>
              <a:ea typeface="Segoe UI" pitchFamily="34" charset="0"/>
              <a:cs typeface="Tahoma" panose="020B0604030504040204" pitchFamily="34" charset="0"/>
            </a:endParaRPr>
          </a:p>
        </xdr:txBody>
      </xdr:sp>
      <xdr:sp macro="" textlink="">
        <xdr:nvSpPr>
          <xdr:cNvPr id="64" name="شكل_الخطوة" descr="3">
            <a:extLst>
              <a:ext uri="{FF2B5EF4-FFF2-40B4-BE49-F238E27FC236}">
                <a16:creationId xmlns:a16="http://schemas.microsoft.com/office/drawing/2014/main" id="{4C60E600-C8A7-466F-BFAA-56DFFA965DD9}"/>
              </a:ext>
            </a:extLst>
          </xdr:cNvPr>
          <xdr:cNvSpPr/>
        </xdr:nvSpPr>
        <xdr:spPr>
          <a:xfrm flipH="1">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1"/>
            <a:r>
              <a:rPr lang="ar" sz="1600" b="1">
                <a:latin typeface="Tahoma" panose="020B0604030504040204" pitchFamily="34" charset="0"/>
                <a:cs typeface="Tahoma" panose="020B0604030504040204" pitchFamily="34" charset="0"/>
              </a:rPr>
              <a:t>3</a:t>
            </a:r>
          </a:p>
        </xdr:txBody>
      </xdr:sp>
    </xdr:grpSp>
    <xdr:clientData/>
  </xdr:twoCellAnchor>
  <xdr:twoCellAnchor editAs="absolute">
    <xdr:from>
      <xdr:col>0</xdr:col>
      <xdr:colOff>619125</xdr:colOff>
      <xdr:row>46</xdr:row>
      <xdr:rowOff>47625</xdr:rowOff>
    </xdr:from>
    <xdr:to>
      <xdr:col>1</xdr:col>
      <xdr:colOff>941250</xdr:colOff>
      <xdr:row>48</xdr:row>
      <xdr:rowOff>14774</xdr:rowOff>
    </xdr:to>
    <xdr:sp macro="" textlink="">
      <xdr:nvSpPr>
        <xdr:cNvPr id="65" name="الزر_السابق" descr="الرجوع إلى الورقة السابقة">
          <a:hlinkClick xmlns:r="http://schemas.openxmlformats.org/officeDocument/2006/relationships" r:id="rId3" tooltip="انقر هنا للعودة إلى الورقة السابقة"/>
          <a:extLst>
            <a:ext uri="{FF2B5EF4-FFF2-40B4-BE49-F238E27FC236}">
              <a16:creationId xmlns:a16="http://schemas.microsoft.com/office/drawing/2014/main" id="{59901CBF-662C-46B7-9798-9856B1E5ACCE}"/>
            </a:ext>
          </a:extLst>
        </xdr:cNvPr>
        <xdr:cNvSpPr/>
      </xdr:nvSpPr>
      <xdr:spPr>
        <a:xfrm>
          <a:off x="11240787600" y="9048750"/>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السابق</a:t>
          </a:r>
        </a:p>
      </xdr:txBody>
    </xdr:sp>
    <xdr:clientData fPrintsWithSheet="0"/>
  </xdr:twoCellAnchor>
  <xdr:twoCellAnchor editAs="absolute">
    <xdr:from>
      <xdr:col>1</xdr:col>
      <xdr:colOff>3705225</xdr:colOff>
      <xdr:row>46</xdr:row>
      <xdr:rowOff>47625</xdr:rowOff>
    </xdr:from>
    <xdr:to>
      <xdr:col>1</xdr:col>
      <xdr:colOff>5008425</xdr:colOff>
      <xdr:row>48</xdr:row>
      <xdr:rowOff>14774</xdr:rowOff>
    </xdr:to>
    <xdr:sp macro="" textlink="">
      <xdr:nvSpPr>
        <xdr:cNvPr id="66" name="الزر_التالي" descr="التقدم إلى الورقة التالية">
          <a:hlinkClick xmlns:r="http://schemas.openxmlformats.org/officeDocument/2006/relationships" r:id="rId4" tooltip="انقر هنا للتقدم إلى الورقة التالية"/>
          <a:extLst>
            <a:ext uri="{FF2B5EF4-FFF2-40B4-BE49-F238E27FC236}">
              <a16:creationId xmlns:a16="http://schemas.microsoft.com/office/drawing/2014/main" id="{A1974C03-9104-44F6-9B95-FBB22D17937B}"/>
            </a:ext>
          </a:extLst>
        </xdr:cNvPr>
        <xdr:cNvSpPr/>
      </xdr:nvSpPr>
      <xdr:spPr>
        <a:xfrm flipH="1">
          <a:off x="11236720425" y="9048750"/>
          <a:ext cx="1303200" cy="3290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1"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1"/>
          <a:r>
            <a:rPr lang="ar" sz="1200">
              <a:solidFill>
                <a:srgbClr val="0B744D"/>
              </a:solidFill>
              <a:latin typeface="Tahoma" panose="020B0604030504040204" pitchFamily="34" charset="0"/>
              <a:ea typeface="Segoe UI" pitchFamily="34" charset="0"/>
              <a:cs typeface="Tahoma" panose="020B0604030504040204" pitchFamily="34" charset="0"/>
            </a:rPr>
            <a:t>التالي</a:t>
          </a:r>
        </a:p>
      </xdr:txBody>
    </xdr:sp>
    <xdr:clientData fPrintsWithSheet="0"/>
  </xdr:twoCellAnchor>
  <xdr:twoCellAnchor editAs="absolute">
    <xdr:from>
      <xdr:col>2</xdr:col>
      <xdr:colOff>946151</xdr:colOff>
      <xdr:row>36</xdr:row>
      <xdr:rowOff>130175</xdr:rowOff>
    </xdr:from>
    <xdr:to>
      <xdr:col>7</xdr:col>
      <xdr:colOff>257176</xdr:colOff>
      <xdr:row>42</xdr:row>
      <xdr:rowOff>173766</xdr:rowOff>
    </xdr:to>
    <xdr:grpSp>
      <xdr:nvGrpSpPr>
        <xdr:cNvPr id="67" name="تجربة" descr="تجربة">
          <a:extLst>
            <a:ext uri="{FF2B5EF4-FFF2-40B4-BE49-F238E27FC236}">
              <a16:creationId xmlns:a16="http://schemas.microsoft.com/office/drawing/2014/main" id="{7AB7F1CB-875F-43B5-84D0-9EF392715E5F}"/>
            </a:ext>
          </a:extLst>
        </xdr:cNvPr>
        <xdr:cNvGrpSpPr/>
      </xdr:nvGrpSpPr>
      <xdr:grpSpPr>
        <a:xfrm flipH="1">
          <a:off x="11231089424" y="7312025"/>
          <a:ext cx="3387725" cy="1138966"/>
          <a:chOff x="6375400" y="12710331"/>
          <a:chExt cx="3768724" cy="1161191"/>
        </a:xfrm>
      </xdr:grpSpPr>
      <xdr:sp macro="" textlink="">
        <xdr:nvSpPr>
          <xdr:cNvPr id="68" name="الخطوة" descr="EXPERIMENT&#10;What's wrong here? Hint: We're trying to SUM up all the items.&#10;&#10;">
            <a:extLst>
              <a:ext uri="{FF2B5EF4-FFF2-40B4-BE49-F238E27FC236}">
                <a16:creationId xmlns:a16="http://schemas.microsoft.com/office/drawing/2014/main" id="{D3EB3534-E4A7-4C41-96B9-1127C7641AFF}"/>
              </a:ext>
            </a:extLst>
          </xdr:cNvPr>
          <xdr:cNvSpPr txBox="1"/>
        </xdr:nvSpPr>
        <xdr:spPr>
          <a:xfrm flipH="1">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تجربة</a:t>
            </a:r>
            <a:endParaRPr lang="en-US" sz="1200" b="1">
              <a:solidFill>
                <a:srgbClr val="ED7D31">
                  <a:lumMod val="60000"/>
                  <a:lumOff val="40000"/>
                </a:srgbClr>
              </a:solidFill>
              <a:latin typeface="+mj-lt"/>
              <a:ea typeface="Segoe UI" pitchFamily="34" charset="0"/>
              <a:cs typeface="Tahoma" panose="020B0604030504040204" pitchFamily="34" charset="0"/>
            </a:endParaRPr>
          </a:p>
          <a:p>
            <a:pPr lvl="0" algn="r" rtl="1">
              <a:defRPr/>
            </a:pPr>
            <a:r>
              <a:rPr lang="ar" sz="1100" kern="0">
                <a:solidFill>
                  <a:schemeClr val="bg2">
                    <a:lumMod val="25000"/>
                  </a:schemeClr>
                </a:solidFill>
                <a:latin typeface="+mn-lt"/>
                <a:ea typeface="Segoe UI" pitchFamily="34" charset="0"/>
                <a:cs typeface="Tahoma" panose="020B0604030504040204" pitchFamily="34" charset="0"/>
              </a:rPr>
              <a:t>ما</a:t>
            </a:r>
            <a:r>
              <a:rPr lang="ar" sz="1100" kern="0" baseline="0">
                <a:solidFill>
                  <a:schemeClr val="bg2">
                    <a:lumMod val="25000"/>
                  </a:schemeClr>
                </a:solidFill>
                <a:latin typeface="+mn-lt"/>
                <a:ea typeface="Segoe UI" pitchFamily="34" charset="0"/>
                <a:cs typeface="Tahoma" panose="020B0604030504040204" pitchFamily="34" charset="0"/>
              </a:rPr>
              <a:t> الخطأ هنا؟ تلميح: نحاول </a:t>
            </a:r>
            <a:r>
              <a:rPr lang="ar" sz="1100" b="1" kern="0" baseline="0">
                <a:solidFill>
                  <a:schemeClr val="bg2">
                    <a:lumMod val="25000"/>
                  </a:schemeClr>
                </a:solidFill>
                <a:latin typeface="+mn-lt"/>
                <a:ea typeface="Segoe UI" pitchFamily="34" charset="0"/>
                <a:cs typeface="Tahoma" panose="020B0604030504040204" pitchFamily="34" charset="0"/>
              </a:rPr>
              <a:t>تجميع</a:t>
            </a:r>
            <a:r>
              <a:rPr lang="ar" sz="1100" kern="0" baseline="0">
                <a:solidFill>
                  <a:schemeClr val="bg2">
                    <a:lumMod val="25000"/>
                  </a:schemeClr>
                </a:solidFill>
                <a:latin typeface="+mn-lt"/>
                <a:ea typeface="Segoe UI" pitchFamily="34" charset="0"/>
                <a:cs typeface="Tahoma" panose="020B0604030504040204" pitchFamily="34" charset="0"/>
              </a:rPr>
              <a:t> كل العناصر.</a:t>
            </a:r>
            <a:endParaRPr lang="en-US" sz="1100" kern="0">
              <a:solidFill>
                <a:schemeClr val="bg2">
                  <a:lumMod val="25000"/>
                </a:schemeClr>
              </a:solidFill>
              <a:latin typeface="+mn-lt"/>
              <a:ea typeface="Segoe UI" pitchFamily="34" charset="0"/>
              <a:cs typeface="Tahoma" panose="020B0604030504040204" pitchFamily="34" charset="0"/>
            </a:endParaRPr>
          </a:p>
        </xdr:txBody>
      </xdr:sp>
      <xdr:sp macro="" textlink="">
        <xdr:nvSpPr>
          <xdr:cNvPr id="69" name="شكل حر: الشكل 68" descr="سطر قوس">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sp macro="" textlink="">
        <xdr:nvSpPr>
          <xdr:cNvPr id="70" name="شكل حر: الشكل 69" descr="سطر قوس">
            <a:extLst>
              <a:ext uri="{FF2B5EF4-FFF2-40B4-BE49-F238E27FC236}">
                <a16:creationId xmlns:a16="http://schemas.microsoft.com/office/drawing/2014/main" id="{E531DB5C-8852-4427-93EE-D879198D5D23}"/>
              </a:ext>
            </a:extLst>
          </xdr:cNvPr>
          <xdr:cNvSpPr/>
        </xdr:nvSpPr>
        <xdr:spPr>
          <a:xfrm rot="16200000" flipH="1">
            <a:off x="6553723"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sp macro="" textlink="">
        <xdr:nvSpPr>
          <xdr:cNvPr id="71" name="القوس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sp macro="" textlink="">
        <xdr:nvSpPr>
          <xdr:cNvPr id="72" name="القوس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marL="0" indent="0" algn="l" rtl="1"/>
            <a:endParaRPr lang="en-US" sz="1100">
              <a:solidFill>
                <a:schemeClr val="lt1"/>
              </a:solidFill>
              <a:latin typeface="+mn-lt"/>
              <a:ea typeface="+mn-ea"/>
              <a:cs typeface="+mn-cs"/>
            </a:endParaRPr>
          </a:p>
        </xdr:txBody>
      </xdr:sp>
      <xdr:pic>
        <xdr:nvPicPr>
          <xdr:cNvPr id="73" name="رسم 96" descr="قنينة">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flipH="1">
            <a:off x="6375400" y="12980570"/>
            <a:ext cx="384748" cy="368300"/>
          </a:xfrm>
          <a:prstGeom prst="rect">
            <a:avLst/>
          </a:prstGeom>
        </xdr:spPr>
      </xdr:pic>
    </xdr:grpSp>
    <xdr:clientData/>
  </xdr:twoCellAnchor>
  <xdr:twoCellAnchor editAs="absolute">
    <xdr:from>
      <xdr:col>1</xdr:col>
      <xdr:colOff>5680075</xdr:colOff>
      <xdr:row>22</xdr:row>
      <xdr:rowOff>156890</xdr:rowOff>
    </xdr:from>
    <xdr:to>
      <xdr:col>5</xdr:col>
      <xdr:colOff>28575</xdr:colOff>
      <xdr:row>27</xdr:row>
      <xdr:rowOff>123837</xdr:rowOff>
    </xdr:to>
    <xdr:grpSp>
      <xdr:nvGrpSpPr>
        <xdr:cNvPr id="74" name="من الرائع معرفة أنه" descr="مربع حوار تدقيق الأخطاء">
          <a:extLst>
            <a:ext uri="{FF2B5EF4-FFF2-40B4-BE49-F238E27FC236}">
              <a16:creationId xmlns:a16="http://schemas.microsoft.com/office/drawing/2014/main" id="{31BEE91F-7C0C-4732-BB35-0C8B019C6B03}"/>
            </a:ext>
          </a:extLst>
        </xdr:cNvPr>
        <xdr:cNvGrpSpPr/>
      </xdr:nvGrpSpPr>
      <xdr:grpSpPr>
        <a:xfrm flipH="1">
          <a:off x="11232689625" y="4776515"/>
          <a:ext cx="3359150" cy="871822"/>
          <a:chOff x="6778625" y="15619706"/>
          <a:chExt cx="2584778" cy="855693"/>
        </a:xfrm>
      </xdr:grpSpPr>
      <xdr:sp macro="" textlink="">
        <xdr:nvSpPr>
          <xdr:cNvPr id="75" name="الخطوة" descr="GOOD TO KNOW&#10;Clicking Options will let you set the rules for when errors in Excel are displayed or ignored.&#10;&#10;">
            <a:extLst>
              <a:ext uri="{FF2B5EF4-FFF2-40B4-BE49-F238E27FC236}">
                <a16:creationId xmlns:a16="http://schemas.microsoft.com/office/drawing/2014/main" id="{2290844F-0916-4E97-96DF-1467983B55BF}"/>
              </a:ext>
            </a:extLst>
          </xdr:cNvPr>
          <xdr:cNvSpPr txBox="1"/>
        </xdr:nvSpPr>
        <xdr:spPr>
          <a:xfrm flipH="1">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200" b="1" kern="0">
                <a:solidFill>
                  <a:srgbClr val="ED7D31">
                    <a:lumMod val="60000"/>
                    <a:lumOff val="40000"/>
                  </a:srgbClr>
                </a:solidFill>
                <a:latin typeface="+mj-lt"/>
                <a:ea typeface="Segoe UI" pitchFamily="34" charset="0"/>
                <a:cs typeface="Tahoma" panose="020B0604030504040204" pitchFamily="34" charset="0"/>
              </a:rPr>
              <a:t>من الرائع معرفة أنه</a:t>
            </a:r>
            <a:endParaRPr lang="en-US" sz="1200" b="1">
              <a:solidFill>
                <a:srgbClr val="ED7D31">
                  <a:lumMod val="60000"/>
                  <a:lumOff val="40000"/>
                </a:srgbClr>
              </a:solidFill>
              <a:latin typeface="+mj-lt"/>
              <a:ea typeface="Segoe UI" pitchFamily="34" charset="0"/>
              <a:cs typeface="Tahoma" panose="020B0604030504040204" pitchFamily="34" charset="0"/>
            </a:endParaRPr>
          </a:p>
          <a:p>
            <a:pPr algn="r" rtl="1" eaLnBrk="1" fontAlgn="auto" latinLnBrk="0" hangingPunct="1"/>
            <a:r>
              <a:rPr lang="ar" sz="1100" b="0" i="0" kern="1200" baseline="0">
                <a:solidFill>
                  <a:schemeClr val="tx1">
                    <a:lumMod val="75000"/>
                    <a:lumOff val="25000"/>
                  </a:schemeClr>
                </a:solidFill>
                <a:effectLst/>
                <a:latin typeface="+mn-lt"/>
                <a:ea typeface="+mn-ea"/>
                <a:cs typeface="Tahoma" panose="020B0604030504040204" pitchFamily="34" charset="0"/>
              </a:rPr>
              <a:t>سيتيح لك </a:t>
            </a:r>
            <a:r>
              <a:rPr lang="ar" sz="1100" b="1" i="0" kern="1200" baseline="0">
                <a:solidFill>
                  <a:schemeClr val="tx1">
                    <a:lumMod val="75000"/>
                    <a:lumOff val="25000"/>
                  </a:schemeClr>
                </a:solidFill>
                <a:effectLst/>
                <a:latin typeface="+mn-lt"/>
                <a:ea typeface="+mn-ea"/>
                <a:cs typeface="Tahoma" panose="020B0604030504040204" pitchFamily="34" charset="0"/>
              </a:rPr>
              <a:t>النقر فوق </a:t>
            </a:r>
            <a:r>
              <a:rPr lang="ar" sz="1100" b="0" i="0" kern="1200" baseline="0">
                <a:solidFill>
                  <a:schemeClr val="tx1">
                    <a:lumMod val="75000"/>
                    <a:lumOff val="25000"/>
                  </a:schemeClr>
                </a:solidFill>
                <a:effectLst/>
                <a:latin typeface="+mn-lt"/>
                <a:ea typeface="+mn-ea"/>
                <a:cs typeface="Tahoma" panose="020B0604030504040204" pitchFamily="34" charset="0"/>
              </a:rPr>
              <a:t>خيارات تعيين القواعد عند عرض الأخطاء في Excel أو تجاهلها.</a:t>
            </a:r>
            <a:endParaRPr lang="en-US" sz="1100">
              <a:solidFill>
                <a:schemeClr val="tx1">
                  <a:lumMod val="75000"/>
                  <a:lumOff val="25000"/>
                </a:schemeClr>
              </a:solidFill>
              <a:effectLst/>
              <a:latin typeface="+mn-lt"/>
              <a:cs typeface="Tahoma" panose="020B0604030504040204" pitchFamily="34" charset="0"/>
            </a:endParaRPr>
          </a:p>
        </xdr:txBody>
      </xdr:sp>
      <xdr:pic>
        <xdr:nvPicPr>
          <xdr:cNvPr id="76" name="الرسم 147" descr="نظارات">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flipH="1">
            <a:off x="6778625" y="15619706"/>
            <a:ext cx="323347" cy="349115"/>
          </a:xfrm>
          <a:prstGeom prst="rect">
            <a:avLst/>
          </a:prstGeom>
        </xdr:spPr>
      </xdr:pic>
    </xdr:grpSp>
    <xdr:clientData/>
  </xdr:twoCellAnchor>
  <xdr:twoCellAnchor>
    <xdr:from>
      <xdr:col>1</xdr:col>
      <xdr:colOff>933451</xdr:colOff>
      <xdr:row>22</xdr:row>
      <xdr:rowOff>28577</xdr:rowOff>
    </xdr:from>
    <xdr:to>
      <xdr:col>1</xdr:col>
      <xdr:colOff>5495926</xdr:colOff>
      <xdr:row>23</xdr:row>
      <xdr:rowOff>114300</xdr:rowOff>
    </xdr:to>
    <xdr:cxnSp macro="">
      <xdr:nvCxnSpPr>
        <xdr:cNvPr id="77" name="موصل: منحنى 76" descr="مربع حوار تدقيق الأخطاء">
          <a:extLst>
            <a:ext uri="{FF2B5EF4-FFF2-40B4-BE49-F238E27FC236}">
              <a16:creationId xmlns:a16="http://schemas.microsoft.com/office/drawing/2014/main" id="{16767E7F-5A94-4A53-A7E2-81A5EF1897C0}"/>
            </a:ext>
          </a:extLst>
        </xdr:cNvPr>
        <xdr:cNvCxnSpPr/>
      </xdr:nvCxnSpPr>
      <xdr:spPr>
        <a:xfrm rot="10800000" flipH="1">
          <a:off x="11236232924" y="4648202"/>
          <a:ext cx="4562475" cy="266698"/>
        </a:xfrm>
        <a:prstGeom prst="curvedConnector3">
          <a:avLst>
            <a:gd name="adj1" fmla="val 55637"/>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49</xdr:row>
      <xdr:rowOff>47625</xdr:rowOff>
    </xdr:from>
    <xdr:to>
      <xdr:col>1</xdr:col>
      <xdr:colOff>5209413</xdr:colOff>
      <xdr:row>62</xdr:row>
      <xdr:rowOff>171450</xdr:rowOff>
    </xdr:to>
    <xdr:grpSp>
      <xdr:nvGrpSpPr>
        <xdr:cNvPr id="78" name="المجموعة 77">
          <a:extLst>
            <a:ext uri="{FF2B5EF4-FFF2-40B4-BE49-F238E27FC236}">
              <a16:creationId xmlns:a16="http://schemas.microsoft.com/office/drawing/2014/main" id="{340F396F-7EEE-4FE2-8349-58C6AAB22606}"/>
            </a:ext>
          </a:extLst>
        </xdr:cNvPr>
        <xdr:cNvGrpSpPr/>
      </xdr:nvGrpSpPr>
      <xdr:grpSpPr>
        <a:xfrm flipH="1">
          <a:off x="11236519437" y="9591675"/>
          <a:ext cx="5847588" cy="2476500"/>
          <a:chOff x="352425" y="10715625"/>
          <a:chExt cx="5733288" cy="2390775"/>
        </a:xfrm>
      </xdr:grpSpPr>
      <xdr:sp macro="" textlink="">
        <xdr:nvSpPr>
          <xdr:cNvPr id="79" name="مستطيل 78">
            <a:extLst>
              <a:ext uri="{FF2B5EF4-FFF2-40B4-BE49-F238E27FC236}">
                <a16:creationId xmlns:a16="http://schemas.microsoft.com/office/drawing/2014/main" id="{14D789FA-74C9-492D-A225-7D3C79A2D087}"/>
              </a:ext>
            </a:extLst>
          </xdr:cNvPr>
          <xdr:cNvSpPr/>
        </xdr:nvSpPr>
        <xdr:spPr>
          <a:xfrm flipH="1">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rtl="1"/>
            <a:endParaRPr lang="en-US" sz="1100"/>
          </a:p>
        </xdr:txBody>
      </xdr:sp>
      <xdr:sp macro="" textlink="">
        <xdr:nvSpPr>
          <xdr:cNvPr id="80" name="الخطوة" descr="المزيد من المعلومات على الويب&#10;">
            <a:extLst>
              <a:ext uri="{FF2B5EF4-FFF2-40B4-BE49-F238E27FC236}">
                <a16:creationId xmlns:a16="http://schemas.microsoft.com/office/drawing/2014/main" id="{61F2D59C-F26B-49DE-B327-CF19805E2271}"/>
              </a:ext>
            </a:extLst>
          </xdr:cNvPr>
          <xdr:cNvSpPr txBox="1"/>
        </xdr:nvSpPr>
        <xdr:spPr>
          <a:xfrm flipH="1">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r" defTabSz="914400" rtl="1" eaLnBrk="1" fontAlgn="auto" latinLnBrk="0" hangingPunct="1">
              <a:lnSpc>
                <a:spcPct val="100000"/>
              </a:lnSpc>
              <a:spcBef>
                <a:spcPts val="0"/>
              </a:spcBef>
              <a:spcAft>
                <a:spcPts val="0"/>
              </a:spcAft>
              <a:buClrTx/>
              <a:buSzTx/>
              <a:buFontTx/>
              <a:buNone/>
              <a:tabLst/>
              <a:defRPr/>
            </a:pPr>
            <a:r>
              <a:rPr lang="ar" sz="2200" b="0" i="0" u="none" strike="noStrike" kern="0" cap="none" spc="0" normalizeH="0" baseline="0">
                <a:ln>
                  <a:noFill/>
                </a:ln>
                <a:solidFill>
                  <a:schemeClr val="bg2">
                    <a:lumMod val="25000"/>
                  </a:schemeClr>
                </a:solidFill>
                <a:effectLst/>
                <a:uLnTx/>
                <a:uFillTx/>
                <a:latin typeface="Tahoma" panose="020B0604030504040204" pitchFamily="34" charset="0"/>
                <a:ea typeface="Segoe UI" pitchFamily="34" charset="0"/>
                <a:cs typeface="Tahoma" panose="020B0604030504040204" pitchFamily="34" charset="0"/>
              </a:rPr>
              <a:t>المزيد من المعلومات على الويب</a:t>
            </a:r>
            <a:endParaRPr lang="en-US" sz="2200" b="0">
              <a:solidFill>
                <a:schemeClr val="bg2">
                  <a:lumMod val="25000"/>
                </a:schemeClr>
              </a:solidFill>
              <a:effectLst/>
              <a:latin typeface="Tahoma" panose="020B0604030504040204" pitchFamily="34" charset="0"/>
              <a:ea typeface="Segoe UI" pitchFamily="34" charset="0"/>
              <a:cs typeface="Tahoma" panose="020B0604030504040204" pitchFamily="34" charset="0"/>
            </a:endParaRPr>
          </a:p>
        </xdr:txBody>
      </xdr:sp>
      <xdr:cxnSp macro="">
        <xdr:nvCxnSpPr>
          <xdr:cNvPr id="81" name="موصل مستقيم 80" descr="سطر مزخرف">
            <a:extLst>
              <a:ext uri="{FF2B5EF4-FFF2-40B4-BE49-F238E27FC236}">
                <a16:creationId xmlns:a16="http://schemas.microsoft.com/office/drawing/2014/main" id="{D78368A3-B0DA-4D56-A2D9-D61314658FEC}"/>
              </a:ext>
            </a:extLst>
          </xdr:cNvPr>
          <xdr:cNvCxnSpPr>
            <a:cxnSpLocks/>
          </xdr:cNvCxnSpPr>
        </xdr:nvCxnSpPr>
        <xdr:spPr>
          <a:xfrm flipH="1">
            <a:off x="585659" y="11319574"/>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موصل مستقيم 81" descr="سطر مزخرف">
            <a:extLst>
              <a:ext uri="{FF2B5EF4-FFF2-40B4-BE49-F238E27FC236}">
                <a16:creationId xmlns:a16="http://schemas.microsoft.com/office/drawing/2014/main" id="{9F9DC1E5-92D2-4E32-BCB9-CCE0FAC9C8B2}"/>
              </a:ext>
            </a:extLst>
          </xdr:cNvPr>
          <xdr:cNvCxnSpPr>
            <a:cxnSpLocks/>
          </xdr:cNvCxnSpPr>
        </xdr:nvCxnSpPr>
        <xdr:spPr>
          <a:xfrm flipH="1">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53</xdr:row>
      <xdr:rowOff>35644</xdr:rowOff>
    </xdr:from>
    <xdr:to>
      <xdr:col>1</xdr:col>
      <xdr:colOff>2552700</xdr:colOff>
      <xdr:row>55</xdr:row>
      <xdr:rowOff>13723</xdr:rowOff>
    </xdr:to>
    <xdr:grpSp>
      <xdr:nvGrpSpPr>
        <xdr:cNvPr id="83" name="المجموعة 82">
          <a:extLst>
            <a:ext uri="{FF2B5EF4-FFF2-40B4-BE49-F238E27FC236}">
              <a16:creationId xmlns:a16="http://schemas.microsoft.com/office/drawing/2014/main" id="{1612118D-530C-41CF-BA41-E6AC52C9311F}"/>
            </a:ext>
          </a:extLst>
        </xdr:cNvPr>
        <xdr:cNvGrpSpPr/>
      </xdr:nvGrpSpPr>
      <xdr:grpSpPr>
        <a:xfrm flipH="1">
          <a:off x="11239176150" y="10303594"/>
          <a:ext cx="2980894" cy="340029"/>
          <a:chOff x="552881" y="10532194"/>
          <a:chExt cx="2866594" cy="359079"/>
        </a:xfrm>
      </xdr:grpSpPr>
      <xdr:sp macro="" textlink="">
        <xdr:nvSpPr>
          <xdr:cNvPr id="84" name="الخطوة" descr="جميع المعلومات حول الدالة IF، مرتبط ارتباطاً تشعبياً إلى الويب&#10;&#10;">
            <a:hlinkClick xmlns:r="http://schemas.openxmlformats.org/officeDocument/2006/relationships" r:id="rId9" tooltip="حدد للتعرف على جميع المعلومات حول الكشف عن الأخطاء في الصيغ على الويب"/>
            <a:extLst>
              <a:ext uri="{FF2B5EF4-FFF2-40B4-BE49-F238E27FC236}">
                <a16:creationId xmlns:a16="http://schemas.microsoft.com/office/drawing/2014/main" id="{90EE0485-37C4-4EB9-BF02-1B8540E8892B}"/>
              </a:ext>
            </a:extLst>
          </xdr:cNvPr>
          <xdr:cNvSpPr txBox="1"/>
        </xdr:nvSpPr>
        <xdr:spPr>
          <a:xfrm flipH="1">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الكشف عن الأخطاء في الصيغ</a:t>
            </a:r>
          </a:p>
        </xdr:txBody>
      </xdr:sp>
      <xdr:pic>
        <xdr:nvPicPr>
          <xdr:cNvPr id="85" name="الرسم 22" descr="سهم">
            <a:hlinkClick xmlns:r="http://schemas.openxmlformats.org/officeDocument/2006/relationships" r:id="rId9" tooltip="حدد للتعرّف على المزيد من الويب"/>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55</xdr:row>
      <xdr:rowOff>29710</xdr:rowOff>
    </xdr:from>
    <xdr:to>
      <xdr:col>1</xdr:col>
      <xdr:colOff>2581275</xdr:colOff>
      <xdr:row>57</xdr:row>
      <xdr:rowOff>13099</xdr:rowOff>
    </xdr:to>
    <xdr:grpSp>
      <xdr:nvGrpSpPr>
        <xdr:cNvPr id="86" name="المجموعة 85">
          <a:extLst>
            <a:ext uri="{FF2B5EF4-FFF2-40B4-BE49-F238E27FC236}">
              <a16:creationId xmlns:a16="http://schemas.microsoft.com/office/drawing/2014/main" id="{ADC1751D-5736-45B9-8E54-EF18BF377AD1}"/>
            </a:ext>
          </a:extLst>
        </xdr:cNvPr>
        <xdr:cNvGrpSpPr/>
      </xdr:nvGrpSpPr>
      <xdr:grpSpPr>
        <a:xfrm flipH="1">
          <a:off x="11239147575" y="10659610"/>
          <a:ext cx="3009469" cy="345339"/>
          <a:chOff x="552881" y="10907260"/>
          <a:chExt cx="2895169" cy="364389"/>
        </a:xfrm>
      </xdr:grpSpPr>
      <xdr:sp macro="" textlink="">
        <xdr:nvSpPr>
          <xdr:cNvPr id="87" name="الخطوة" descr="جميع المعلومات حول الدالة IFS، مرتبط ارتباطاً تشعبياً إلى الويب&#10;">
            <a:hlinkClick xmlns:r="http://schemas.openxmlformats.org/officeDocument/2006/relationships" r:id="rId12" tooltip="حدد للتعرف على جميع المعلومات حول تفادي الصيغ المقطوعة على الويب"/>
            <a:extLst>
              <a:ext uri="{FF2B5EF4-FFF2-40B4-BE49-F238E27FC236}">
                <a16:creationId xmlns:a16="http://schemas.microsoft.com/office/drawing/2014/main" id="{2242BC63-23A2-4F17-AAED-7DD2C6329F89}"/>
              </a:ext>
            </a:extLst>
          </xdr:cNvPr>
          <xdr:cNvSpPr txBox="1"/>
        </xdr:nvSpPr>
        <xdr:spPr>
          <a:xfrm flipH="1">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كيفية تفادي الصيغ المقطوعة</a:t>
            </a:r>
          </a:p>
        </xdr:txBody>
      </xdr:sp>
      <xdr:pic>
        <xdr:nvPicPr>
          <xdr:cNvPr id="88" name="الرسم 22" descr="سهم">
            <a:hlinkClick xmlns:r="http://schemas.openxmlformats.org/officeDocument/2006/relationships" r:id="rId12" tooltip="حدد للتعرّف على المزيد من الويب"/>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59</xdr:row>
      <xdr:rowOff>60628</xdr:rowOff>
    </xdr:from>
    <xdr:to>
      <xdr:col>1</xdr:col>
      <xdr:colOff>3048000</xdr:colOff>
      <xdr:row>61</xdr:row>
      <xdr:rowOff>44017</xdr:rowOff>
    </xdr:to>
    <xdr:grpSp>
      <xdr:nvGrpSpPr>
        <xdr:cNvPr id="89" name="المجموعة 88">
          <a:extLst>
            <a:ext uri="{FF2B5EF4-FFF2-40B4-BE49-F238E27FC236}">
              <a16:creationId xmlns:a16="http://schemas.microsoft.com/office/drawing/2014/main" id="{7988A760-4FB2-4E7F-B1F1-2324CEF3CF3E}"/>
            </a:ext>
          </a:extLst>
        </xdr:cNvPr>
        <xdr:cNvGrpSpPr/>
      </xdr:nvGrpSpPr>
      <xdr:grpSpPr>
        <a:xfrm flipH="1">
          <a:off x="11238680850" y="11414428"/>
          <a:ext cx="3476194" cy="345339"/>
          <a:chOff x="552881" y="11700178"/>
          <a:chExt cx="3325172" cy="364389"/>
        </a:xfrm>
      </xdr:grpSpPr>
      <xdr:sp macro="" textlink="">
        <xdr:nvSpPr>
          <xdr:cNvPr id="90" name="الخطوة" descr="التدريب المجاني على Excel عبر الإنترنت، مرتبط ارتباطاً تشعبياً إلى الويب&#10;">
            <a:hlinkClick xmlns:r="http://schemas.openxmlformats.org/officeDocument/2006/relationships" r:id="rId13" tooltip="حدد للتعرف على تدريب Excel المجاني من الويب"/>
            <a:extLst>
              <a:ext uri="{FF2B5EF4-FFF2-40B4-BE49-F238E27FC236}">
                <a16:creationId xmlns:a16="http://schemas.microsoft.com/office/drawing/2014/main" id="{83AC531D-CB18-4A4A-92F0-122C8840F418}"/>
              </a:ext>
            </a:extLst>
          </xdr:cNvPr>
          <xdr:cNvSpPr txBox="1"/>
        </xdr:nvSpPr>
        <xdr:spPr>
          <a:xfrm flipH="1">
            <a:off x="1030674" y="11751282"/>
            <a:ext cx="2847379"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التدريب المجاني على Excel عبر الإنترنت</a:t>
            </a:r>
          </a:p>
        </xdr:txBody>
      </xdr:sp>
      <xdr:pic>
        <xdr:nvPicPr>
          <xdr:cNvPr id="91" name="الرسم 22" descr="سهم">
            <a:hlinkClick xmlns:r="http://schemas.openxmlformats.org/officeDocument/2006/relationships" r:id="rId13" tooltip="حدد للتعرّف على المزيد من الويب"/>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57</xdr:row>
      <xdr:rowOff>29086</xdr:rowOff>
    </xdr:from>
    <xdr:to>
      <xdr:col>1</xdr:col>
      <xdr:colOff>3486149</xdr:colOff>
      <xdr:row>59</xdr:row>
      <xdr:rowOff>12475</xdr:rowOff>
    </xdr:to>
    <xdr:grpSp>
      <xdr:nvGrpSpPr>
        <xdr:cNvPr id="92" name="المجموعة 91">
          <a:extLst>
            <a:ext uri="{FF2B5EF4-FFF2-40B4-BE49-F238E27FC236}">
              <a16:creationId xmlns:a16="http://schemas.microsoft.com/office/drawing/2014/main" id="{1287D230-E85C-41F6-AC03-12C8065534DF}"/>
            </a:ext>
          </a:extLst>
        </xdr:cNvPr>
        <xdr:cNvGrpSpPr/>
      </xdr:nvGrpSpPr>
      <xdr:grpSpPr>
        <a:xfrm flipH="1">
          <a:off x="11238242701" y="11020936"/>
          <a:ext cx="3914343" cy="345339"/>
          <a:chOff x="552881" y="11287636"/>
          <a:chExt cx="3800043" cy="364389"/>
        </a:xfrm>
      </xdr:grpSpPr>
      <xdr:sp macro="" textlink="">
        <xdr:nvSpPr>
          <xdr:cNvPr id="93" name="الخطوة" descr="عبارات IF متقدمة مرتبطة ارتباطاً تشعبياً إلى الويب&#10;">
            <a:hlinkClick xmlns:r="http://schemas.openxmlformats.org/officeDocument/2006/relationships" r:id="rId14" tooltip="حدد للتعرف على جميع المعلومات حول تقييم الصيغ المتداخلة خطوة بخطوة على الويب"/>
            <a:extLst>
              <a:ext uri="{FF2B5EF4-FFF2-40B4-BE49-F238E27FC236}">
                <a16:creationId xmlns:a16="http://schemas.microsoft.com/office/drawing/2014/main" id="{517452E5-5203-44C3-8F73-C9234197799E}"/>
              </a:ext>
            </a:extLst>
          </xdr:cNvPr>
          <xdr:cNvSpPr txBox="1"/>
        </xdr:nvSpPr>
        <xdr:spPr>
          <a:xfrm flipH="1">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1"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lgn="r" rtl="1">
              <a:defRPr/>
            </a:pPr>
            <a:r>
              <a:rPr lang="ar"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rPr>
              <a:t>تقييم</a:t>
            </a:r>
            <a:r>
              <a:rPr lang="ar" sz="1100" u="sng" kern="0" baseline="0">
                <a:solidFill>
                  <a:schemeClr val="tx1">
                    <a:lumMod val="75000"/>
                    <a:lumOff val="25000"/>
                  </a:schemeClr>
                </a:solidFill>
                <a:latin typeface="Tahoma" panose="020B0604030504040204" pitchFamily="34" charset="0"/>
                <a:ea typeface="Segoe UI" pitchFamily="34" charset="0"/>
                <a:cs typeface="Tahoma" panose="020B0604030504040204" pitchFamily="34" charset="0"/>
              </a:rPr>
              <a:t> الصيغة المتداخلة خطوة بخطوة</a:t>
            </a:r>
            <a:endParaRPr lang="en-US" sz="1100" u="sng" kern="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pic>
        <xdr:nvPicPr>
          <xdr:cNvPr id="94" name="الرسم 22" descr="سهم">
            <a:hlinkClick xmlns:r="http://schemas.openxmlformats.org/officeDocument/2006/relationships" r:id="rId14" tooltip="حدد للتعرّف على المزيد من الويب"/>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364090</xdr:colOff>
      <xdr:row>14</xdr:row>
      <xdr:rowOff>150547</xdr:rowOff>
    </xdr:from>
    <xdr:ext cx="8554336" cy="0"/>
    <xdr:cxnSp macro="">
      <xdr:nvCxnSpPr>
        <xdr:cNvPr id="2" name="موصل مستقيم 1" descr="سطر مزخرف">
          <a:extLst>
            <a:ext uri="{FF2B5EF4-FFF2-40B4-BE49-F238E27FC236}">
              <a16:creationId xmlns:a16="http://schemas.microsoft.com/office/drawing/2014/main" id="{F776ADAF-9C7F-4026-AE1C-DE20CA3021B8}"/>
            </a:ext>
          </a:extLst>
        </xdr:cNvPr>
        <xdr:cNvCxnSpPr/>
      </xdr:nvCxnSpPr>
      <xdr:spPr>
        <a:xfrm flipH="1">
          <a:off x="954640" y="3389047"/>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oneCellAnchor>
    <xdr:from>
      <xdr:col>0</xdr:col>
      <xdr:colOff>333375</xdr:colOff>
      <xdr:row>0</xdr:row>
      <xdr:rowOff>352425</xdr:rowOff>
    </xdr:from>
    <xdr:ext cx="9782174" cy="5730553"/>
    <xdr:grpSp>
      <xdr:nvGrpSpPr>
        <xdr:cNvPr id="32" name="المجموعة 31">
          <a:extLst>
            <a:ext uri="{FF2B5EF4-FFF2-40B4-BE49-F238E27FC236}">
              <a16:creationId xmlns:a16="http://schemas.microsoft.com/office/drawing/2014/main" id="{6725C923-6B3B-4CCA-98A0-990F1C1B87A8}"/>
            </a:ext>
          </a:extLst>
        </xdr:cNvPr>
        <xdr:cNvGrpSpPr/>
      </xdr:nvGrpSpPr>
      <xdr:grpSpPr>
        <a:xfrm flipH="1">
          <a:off x="10920498226" y="352425"/>
          <a:ext cx="9782174" cy="5730553"/>
          <a:chOff x="171450" y="285750"/>
          <a:chExt cx="9782174" cy="5730553"/>
        </a:xfrm>
      </xdr:grpSpPr>
      <xdr:grpSp>
        <xdr:nvGrpSpPr>
          <xdr:cNvPr id="13" name="مجموعة 12">
            <a:extLst>
              <a:ext uri="{FF2B5EF4-FFF2-40B4-BE49-F238E27FC236}">
                <a16:creationId xmlns:a16="http://schemas.microsoft.com/office/drawing/2014/main" id="{3FA7D425-D370-44B8-8FA4-045B5D6E310A}"/>
              </a:ext>
            </a:extLst>
          </xdr:cNvPr>
          <xdr:cNvGrpSpPr/>
        </xdr:nvGrpSpPr>
        <xdr:grpSpPr>
          <a:xfrm>
            <a:off x="171450" y="285750"/>
            <a:ext cx="9782174" cy="5730553"/>
            <a:chOff x="171450" y="285750"/>
            <a:chExt cx="9782174" cy="5730553"/>
          </a:xfrm>
        </xdr:grpSpPr>
        <xdr:sp macro="" textlink="">
          <xdr:nvSpPr>
            <xdr:cNvPr id="30" name="المستطيل 29" descr="الخلفية">
              <a:extLst>
                <a:ext uri="{FF2B5EF4-FFF2-40B4-BE49-F238E27FC236}">
                  <a16:creationId xmlns:a16="http://schemas.microsoft.com/office/drawing/2014/main" id="{7626CA03-671C-4586-BB83-B5B27BDAF61D}"/>
                </a:ext>
              </a:extLst>
            </xdr:cNvPr>
            <xdr:cNvSpPr/>
          </xdr:nvSpPr>
          <xdr:spPr>
            <a:xfrm flipH="1">
              <a:off x="171450" y="285750"/>
              <a:ext cx="9782174"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p>
          </xdr:txBody>
        </xdr:sp>
        <xdr:sp macro="" textlink="">
          <xdr:nvSpPr>
            <xdr:cNvPr id="31" name="المستطيل 30" descr="الخلفية">
              <a:extLst>
                <a:ext uri="{FF2B5EF4-FFF2-40B4-BE49-F238E27FC236}">
                  <a16:creationId xmlns:a16="http://schemas.microsoft.com/office/drawing/2014/main" id="{0EF2E102-5A65-4310-A323-6E9410B364FE}"/>
                </a:ext>
              </a:extLst>
            </xdr:cNvPr>
            <xdr:cNvSpPr/>
          </xdr:nvSpPr>
          <xdr:spPr>
            <a:xfrm flipH="1">
              <a:off x="171450" y="1332861"/>
              <a:ext cx="9782174"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latin typeface="Tahoma" panose="020B0604030504040204" pitchFamily="34" charset="0"/>
                <a:ea typeface="Tahoma" panose="020B0604030504040204" pitchFamily="34" charset="0"/>
                <a:cs typeface="Tahoma" panose="020B0604030504040204" pitchFamily="34" charset="0"/>
              </a:endParaRPr>
            </a:p>
          </xdr:txBody>
        </xdr:sp>
      </xdr:grpSp>
      <xdr:sp macro="" textlink="">
        <xdr:nvSpPr>
          <xdr:cNvPr id="14" name="رسالة ترحيب" descr="واصل التصفح. هناك الكثير من الطرق لتسهيل عملك:">
            <a:extLst>
              <a:ext uri="{FF2B5EF4-FFF2-40B4-BE49-F238E27FC236}">
                <a16:creationId xmlns:a16="http://schemas.microsoft.com/office/drawing/2014/main" id="{914889AE-4E16-4A8A-A641-A17A3C6BFA28}"/>
              </a:ext>
            </a:extLst>
          </xdr:cNvPr>
          <xdr:cNvSpPr txBox="1"/>
        </xdr:nvSpPr>
        <xdr:spPr>
          <a:xfrm flipH="1">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rtl="1" eaLnBrk="1" fontAlgn="auto" latinLnBrk="0" hangingPunct="1"/>
            <a:r>
              <a:rPr lang="ar" sz="1600" b="0" i="0" baseline="0">
                <a:solidFill>
                  <a:schemeClr val="tx1">
                    <a:lumMod val="75000"/>
                    <a:lumOff val="25000"/>
                  </a:schemeClr>
                </a:solidFill>
                <a:effectLst/>
                <a:latin typeface="Tahoma" panose="020B0604030504040204" pitchFamily="34" charset="0"/>
                <a:ea typeface="Segoe UI" pitchFamily="34" charset="0"/>
                <a:cs typeface="Tahoma" panose="020B0604030504040204" pitchFamily="34" charset="0"/>
              </a:rPr>
              <a:t>استمر في المتابعة. هناك المزيد للتعرّف عليه باستخدام Excel:</a:t>
            </a:r>
            <a:endParaRPr lang="en-US" sz="1600" b="0">
              <a:solidFill>
                <a:schemeClr val="tx1">
                  <a:lumMod val="75000"/>
                  <a:lumOff val="25000"/>
                </a:schemeClr>
              </a:solidFill>
              <a:latin typeface="Tahoma" panose="020B0604030504040204" pitchFamily="34" charset="0"/>
              <a:ea typeface="Segoe UI" pitchFamily="34" charset="0"/>
              <a:cs typeface="Tahoma" panose="020B0604030504040204" pitchFamily="34" charset="0"/>
            </a:endParaRPr>
          </a:p>
        </xdr:txBody>
      </xdr:sp>
      <xdr:sp macro="" textlink="">
        <xdr:nvSpPr>
          <xdr:cNvPr id="15" name="رسالة ترحيب" descr="هل لديك المزيد من الأسئلة حول Excel؟">
            <a:extLst>
              <a:ext uri="{FF2B5EF4-FFF2-40B4-BE49-F238E27FC236}">
                <a16:creationId xmlns:a16="http://schemas.microsoft.com/office/drawing/2014/main" id="{618A7547-5753-470B-942C-5C7C63E0E0A5}"/>
              </a:ext>
            </a:extLst>
          </xdr:cNvPr>
          <xdr:cNvSpPr txBox="1"/>
        </xdr:nvSpPr>
        <xdr:spPr>
          <a:xfrm flipH="1">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rtl="1" eaLnBrk="1" fontAlgn="auto" latinLnBrk="0" hangingPunct="1"/>
            <a:r>
              <a:rPr lang="ar" sz="2600" b="0" i="0" baseline="0">
                <a:solidFill>
                  <a:schemeClr val="bg1"/>
                </a:solidFill>
                <a:effectLst/>
                <a:latin typeface="Tahoma" panose="020B0604030504040204" pitchFamily="34" charset="0"/>
                <a:ea typeface="Segoe UI" pitchFamily="34" charset="0"/>
                <a:cs typeface="Tahoma" panose="020B0604030504040204" pitchFamily="34" charset="0"/>
              </a:rPr>
              <a:t>هل لديك المزيد من الأسئلة حول Excel؟</a:t>
            </a:r>
            <a:endParaRPr lang="en-US" sz="2600" b="0">
              <a:latin typeface="Tahoma" panose="020B0604030504040204" pitchFamily="34" charset="0"/>
              <a:ea typeface="Segoe UI" pitchFamily="34" charset="0"/>
              <a:cs typeface="Tahoma" panose="020B0604030504040204" pitchFamily="34" charset="0"/>
            </a:endParaRPr>
          </a:p>
        </xdr:txBody>
      </xdr:sp>
      <xdr:pic>
        <xdr:nvPicPr>
          <xdr:cNvPr id="18" name="الصورة 17" descr="زر &quot;أخبرني المزيد&quot;">
            <a:extLst>
              <a:ext uri="{FF2B5EF4-FFF2-40B4-BE49-F238E27FC236}">
                <a16:creationId xmlns:a16="http://schemas.microsoft.com/office/drawing/2014/main" id="{412A103B-C4FA-4247-B599-4CAC782AE3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2987163" y="1468611"/>
            <a:ext cx="1012148" cy="941629"/>
          </a:xfrm>
          <a:prstGeom prst="rect">
            <a:avLst/>
          </a:prstGeom>
        </xdr:spPr>
      </xdr:pic>
      <xdr:sp macro="" textlink="">
        <xdr:nvSpPr>
          <xdr:cNvPr id="19" name="رسالة ترحيب" descr="انقر فوق زر &quot;أخبرني المزيد&quot; واكتب ما ترغب في معرفته">
            <a:extLst>
              <a:ext uri="{FF2B5EF4-FFF2-40B4-BE49-F238E27FC236}">
                <a16:creationId xmlns:a16="http://schemas.microsoft.com/office/drawing/2014/main" id="{5778FEE5-3107-48FB-9854-7817EF5A9214}"/>
              </a:ext>
            </a:extLst>
          </xdr:cNvPr>
          <xdr:cNvSpPr txBox="1"/>
        </xdr:nvSpPr>
        <xdr:spPr>
          <a:xfrm flipH="1">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rtl="1" eaLnBrk="1" fontAlgn="auto" latinLnBrk="0" hangingPunct="1"/>
            <a:r>
              <a:rPr lang="ar" sz="1600" b="0" i="0" baseline="0">
                <a:solidFill>
                  <a:schemeClr val="tx1">
                    <a:lumMod val="75000"/>
                    <a:lumOff val="25000"/>
                  </a:schemeClr>
                </a:solidFill>
                <a:effectLst/>
                <a:latin typeface="Tahoma" panose="020B0604030504040204" pitchFamily="34" charset="0"/>
                <a:ea typeface="Tahoma" panose="020B0604030504040204" pitchFamily="34" charset="0"/>
                <a:cs typeface="Tahoma" panose="020B0604030504040204" pitchFamily="34" charset="0"/>
              </a:rPr>
              <a:t>انقر فوق زر </a:t>
            </a:r>
            <a:r>
              <a:rPr lang="ar" sz="1600" b="0" i="0" baseline="0">
                <a:solidFill>
                  <a:srgbClr val="217346"/>
                </a:solidFill>
                <a:effectLst/>
                <a:latin typeface="Tahoma" panose="020B0604030504040204" pitchFamily="34" charset="0"/>
                <a:ea typeface="Tahoma" panose="020B0604030504040204" pitchFamily="34" charset="0"/>
                <a:cs typeface="Tahoma" panose="020B0604030504040204" pitchFamily="34" charset="0"/>
              </a:rPr>
              <a:t>أخبرني المزيد</a:t>
            </a:r>
            <a:r>
              <a:rPr lang="ar" sz="1600" b="0" i="0" baseline="0">
                <a:solidFill>
                  <a:schemeClr val="tx1">
                    <a:lumMod val="75000"/>
                    <a:lumOff val="25000"/>
                  </a:schemeClr>
                </a:solidFill>
                <a:effectLst/>
                <a:latin typeface="Tahoma" panose="020B0604030504040204" pitchFamily="34" charset="0"/>
                <a:ea typeface="Tahoma" panose="020B0604030504040204" pitchFamily="34" charset="0"/>
                <a:cs typeface="Tahoma" panose="020B0604030504040204" pitchFamily="34" charset="0"/>
              </a:rPr>
              <a:t> </a:t>
            </a:r>
            <a:r>
              <a:rPr lang="en-US" sz="1600" b="0" i="0" baseline="0">
                <a:solidFill>
                  <a:schemeClr val="tx1">
                    <a:lumMod val="75000"/>
                    <a:lumOff val="25000"/>
                  </a:schemeClr>
                </a:solidFill>
                <a:effectLst/>
                <a:latin typeface="Tahoma" panose="020B0604030504040204" pitchFamily="34" charset="0"/>
                <a:ea typeface="Tahoma" panose="020B0604030504040204" pitchFamily="34" charset="0"/>
                <a:cs typeface="Tahoma" panose="020B0604030504040204" pitchFamily="34" charset="0"/>
              </a:rPr>
              <a:t>                </a:t>
            </a:r>
            <a:r>
              <a:rPr lang="ar" sz="1600" b="0" i="0" baseline="0">
                <a:solidFill>
                  <a:schemeClr val="tx1">
                    <a:lumMod val="75000"/>
                    <a:lumOff val="25000"/>
                  </a:schemeClr>
                </a:solidFill>
                <a:effectLst/>
                <a:latin typeface="Tahoma" panose="020B0604030504040204" pitchFamily="34" charset="0"/>
                <a:ea typeface="Tahoma" panose="020B0604030504040204" pitchFamily="34" charset="0"/>
                <a:cs typeface="Tahoma" panose="020B0604030504040204" pitchFamily="34" charset="0"/>
              </a:rPr>
              <a:t>واكتب ما ترغب في معرفة المزيد حوله.</a:t>
            </a:r>
          </a:p>
        </xdr:txBody>
      </xdr:sp>
      <xdr:pic>
        <xdr:nvPicPr>
          <xdr:cNvPr id="20" name="صورة 19" descr="زر &quot;أخبرني ماذا تريد أن تفعل&quot;">
            <a:extLst>
              <a:ext uri="{FF2B5EF4-FFF2-40B4-BE49-F238E27FC236}">
                <a16:creationId xmlns:a16="http://schemas.microsoft.com/office/drawing/2014/main" id="{88E5D8DC-FCE0-4296-A97F-BEEA80C83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flipH="1">
            <a:off x="7417226" y="1737327"/>
            <a:ext cx="2417568" cy="662973"/>
          </a:xfrm>
          <a:prstGeom prst="rect">
            <a:avLst/>
          </a:prstGeom>
        </xdr:spPr>
      </xdr:pic>
      <xdr:sp macro="" textlink="">
        <xdr:nvSpPr>
          <xdr:cNvPr id="23" name="مربع نص 22" descr="تعرّف على المزيد">
            <a:hlinkClick xmlns:r="http://schemas.openxmlformats.org/officeDocument/2006/relationships" r:id="rId3" tooltip="تعرف على المزيد حول مجتمع Excel على ويب"/>
            <a:extLst>
              <a:ext uri="{FF2B5EF4-FFF2-40B4-BE49-F238E27FC236}">
                <a16:creationId xmlns:a16="http://schemas.microsoft.com/office/drawing/2014/main" id="{0E4F3BD9-1086-4455-B51C-A8936225A3CC}"/>
              </a:ext>
            </a:extLst>
          </xdr:cNvPr>
          <xdr:cNvSpPr txBox="1"/>
        </xdr:nvSpPr>
        <xdr:spPr>
          <a:xfrm flipH="1">
            <a:off x="1805448" y="4330350"/>
            <a:ext cx="1861677" cy="508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r" rtl="1"/>
            <a:r>
              <a:rPr lang="ar" sz="1200" b="1" u="sng" baseline="0">
                <a:solidFill>
                  <a:srgbClr val="217346"/>
                </a:solidFill>
                <a:effectLst/>
                <a:latin typeface="Tahoma" panose="020B0604030504040204" pitchFamily="34" charset="0"/>
                <a:ea typeface="+mn-ea"/>
                <a:cs typeface="Tahoma" panose="020B0604030504040204" pitchFamily="34" charset="0"/>
              </a:rPr>
              <a:t>تعرّف على المزيد (باللغة الإنجليزية فقط)</a:t>
            </a:r>
            <a:endParaRPr lang="en-US" sz="1200" b="1" u="sng">
              <a:solidFill>
                <a:schemeClr val="tx1">
                  <a:lumMod val="75000"/>
                  <a:lumOff val="25000"/>
                </a:schemeClr>
              </a:solidFill>
              <a:latin typeface="Tahoma" panose="020B0604030504040204" pitchFamily="34" charset="0"/>
              <a:cs typeface="Tahoma" panose="020B0604030504040204" pitchFamily="34" charset="0"/>
            </a:endParaRPr>
          </a:p>
        </xdr:txBody>
      </xdr:sp>
      <xdr:sp macro="" textlink="">
        <xdr:nvSpPr>
          <xdr:cNvPr id="24" name="مربع نص 23" descr="تعرّف على المزيد">
            <a:hlinkClick xmlns:r="http://schemas.openxmlformats.org/officeDocument/2006/relationships" r:id="rId4" tooltip="تعرّف على المزيد حول أحدث الميزات في Excel على ويب"/>
            <a:extLst>
              <a:ext uri="{FF2B5EF4-FFF2-40B4-BE49-F238E27FC236}">
                <a16:creationId xmlns:a16="http://schemas.microsoft.com/office/drawing/2014/main" id="{C99A8BC1-9314-4FC6-B158-3CC6B224F07E}"/>
              </a:ext>
            </a:extLst>
          </xdr:cNvPr>
          <xdr:cNvSpPr txBox="1"/>
        </xdr:nvSpPr>
        <xdr:spPr>
          <a:xfrm flipH="1">
            <a:off x="5205167" y="4330350"/>
            <a:ext cx="1481383"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r" rtl="1"/>
            <a:r>
              <a:rPr lang="ar" sz="1200" b="1" u="sng" baseline="0">
                <a:solidFill>
                  <a:srgbClr val="217346"/>
                </a:solidFill>
                <a:effectLst/>
                <a:latin typeface="Tahoma" panose="020B0604030504040204" pitchFamily="34" charset="0"/>
                <a:ea typeface="+mn-ea"/>
                <a:cs typeface="Tahoma" panose="020B0604030504040204" pitchFamily="34" charset="0"/>
              </a:rPr>
              <a:t>تعرّف على المزيد</a:t>
            </a:r>
            <a:endParaRPr lang="en-US" sz="1200" b="1" u="sng">
              <a:solidFill>
                <a:schemeClr val="tx1">
                  <a:lumMod val="75000"/>
                  <a:lumOff val="25000"/>
                </a:schemeClr>
              </a:solidFill>
              <a:latin typeface="Tahoma" panose="020B0604030504040204" pitchFamily="34" charset="0"/>
              <a:cs typeface="Tahoma" panose="020B0604030504040204" pitchFamily="34" charset="0"/>
            </a:endParaRPr>
          </a:p>
        </xdr:txBody>
      </xdr:sp>
      <xdr:sp macro="" textlink="">
        <xdr:nvSpPr>
          <xdr:cNvPr id="25" name="مربع نص 24" descr="Community&#10;Ask questions and connect with other Excel fans">
            <a:hlinkClick xmlns:r="http://schemas.openxmlformats.org/officeDocument/2006/relationships" r:id="rId3" tooltip="تعرف على المزيد حول مجتمع Excel على ويب"/>
            <a:extLst>
              <a:ext uri="{FF2B5EF4-FFF2-40B4-BE49-F238E27FC236}">
                <a16:creationId xmlns:a16="http://schemas.microsoft.com/office/drawing/2014/main" id="{1293751F-7023-4F3D-A3F2-7A62FD5D2D64}"/>
              </a:ext>
            </a:extLst>
          </xdr:cNvPr>
          <xdr:cNvSpPr txBox="1"/>
        </xdr:nvSpPr>
        <xdr:spPr>
          <a:xfrm flipH="1">
            <a:off x="1805447" y="3324224"/>
            <a:ext cx="1566402" cy="971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r" rtl="1"/>
            <a:r>
              <a:rPr lang="ar" sz="1400" baseline="0">
                <a:solidFill>
                  <a:srgbClr val="217346"/>
                </a:solidFill>
                <a:effectLst/>
                <a:latin typeface="Segoe UI Light" panose="020B0502040204020203" pitchFamily="34" charset="0"/>
                <a:ea typeface="+mn-ea"/>
                <a:cs typeface="Tahoma" panose="020B0604030504040204" pitchFamily="34" charset="0"/>
              </a:rPr>
              <a:t>المجتمع</a:t>
            </a:r>
          </a:p>
          <a:p>
            <a:pPr algn="r" rtl="1"/>
            <a:r>
              <a:rPr lang="ar" sz="1100" baseline="0">
                <a:solidFill>
                  <a:schemeClr val="tx1">
                    <a:lumMod val="75000"/>
                    <a:lumOff val="25000"/>
                  </a:schemeClr>
                </a:solidFill>
                <a:effectLst/>
                <a:latin typeface="Segoe UI" panose="020B0502040204020203" pitchFamily="34" charset="0"/>
                <a:ea typeface="+mn-ea"/>
                <a:cs typeface="Tahoma" panose="020B0604030504040204" pitchFamily="34" charset="0"/>
              </a:rPr>
              <a:t>طرح الأسئلة والتواصل مع مستخدمي Excel الآخرين.</a:t>
            </a:r>
          </a:p>
        </xdr:txBody>
      </xdr:sp>
      <xdr:sp macro="" textlink="">
        <xdr:nvSpPr>
          <xdr:cNvPr id="28" name="مربع نص 27" descr="What else is new?&#10;Office 365 subscribers get continual updates and new features">
            <a:hlinkClick xmlns:r="http://schemas.openxmlformats.org/officeDocument/2006/relationships" r:id="rId4" tooltip="تعرّف على المزيد حول أحدث الميزات في Excel على ويب"/>
            <a:extLst>
              <a:ext uri="{FF2B5EF4-FFF2-40B4-BE49-F238E27FC236}">
                <a16:creationId xmlns:a16="http://schemas.microsoft.com/office/drawing/2014/main" id="{ECCFA6AB-0C67-4817-85A5-BD3EDB6C982F}"/>
              </a:ext>
            </a:extLst>
          </xdr:cNvPr>
          <xdr:cNvSpPr txBox="1"/>
        </xdr:nvSpPr>
        <xdr:spPr>
          <a:xfrm flipH="1">
            <a:off x="5191126" y="33242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r" rtl="1"/>
            <a:r>
              <a:rPr lang="ar" sz="1400" baseline="0">
                <a:solidFill>
                  <a:srgbClr val="217346"/>
                </a:solidFill>
                <a:effectLst/>
                <a:latin typeface="Segoe UI Light" panose="020B0502040204020203" pitchFamily="34" charset="0"/>
                <a:ea typeface="+mn-ea"/>
                <a:cs typeface="Tahoma" panose="020B0604030504040204" pitchFamily="34" charset="0"/>
              </a:rPr>
              <a:t>ما هو الجديد أيضاً؟</a:t>
            </a:r>
          </a:p>
          <a:p>
            <a:pPr algn="r" rtl="1"/>
            <a:r>
              <a:rPr lang="ar" sz="1100" baseline="0">
                <a:solidFill>
                  <a:schemeClr val="tx1">
                    <a:lumMod val="75000"/>
                    <a:lumOff val="25000"/>
                  </a:schemeClr>
                </a:solidFill>
                <a:effectLst/>
                <a:latin typeface="Segoe UI" panose="020B0502040204020203" pitchFamily="34" charset="0"/>
                <a:ea typeface="+mn-ea"/>
                <a:cs typeface="Tahoma" panose="020B0604030504040204" pitchFamily="34" charset="0"/>
              </a:rPr>
              <a:t>يحصل مشتركو Office 365 على ميزات جديدة وتحديثات متواصلة.</a:t>
            </a:r>
            <a:endParaRPr lang="en-US" sz="1100">
              <a:solidFill>
                <a:schemeClr val="tx1">
                  <a:lumMod val="75000"/>
                  <a:lumOff val="25000"/>
                </a:schemeClr>
              </a:solidFill>
              <a:latin typeface="Segoe UI" panose="020B0502040204020203" pitchFamily="34" charset="0"/>
              <a:cs typeface="Tahoma" panose="020B0604030504040204" pitchFamily="34" charset="0"/>
            </a:endParaRPr>
          </a:p>
        </xdr:txBody>
      </xdr:sp>
      <xdr:pic>
        <xdr:nvPicPr>
          <xdr:cNvPr id="29" name="الصورة 28" descr="المجتمع">
            <a:hlinkClick xmlns:r="http://schemas.openxmlformats.org/officeDocument/2006/relationships" r:id="rId3" tooltip="تعرف على المزيد من مجتمع Excel على ويب"/>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5"/>
          <a:stretch>
            <a:fillRect/>
          </a:stretch>
        </xdr:blipFill>
        <xdr:spPr>
          <a:xfrm>
            <a:off x="876300" y="3467216"/>
            <a:ext cx="926984" cy="774603"/>
          </a:xfrm>
          <a:prstGeom prst="rect">
            <a:avLst/>
          </a:prstGeom>
        </xdr:spPr>
      </xdr:pic>
    </xdr:grpSp>
    <xdr:clientData/>
  </xdr:oneCellAnchor>
  <xdr:oneCellAnchor>
    <xdr:from>
      <xdr:col>1</xdr:col>
      <xdr:colOff>3650538</xdr:colOff>
      <xdr:row>15</xdr:row>
      <xdr:rowOff>98712</xdr:rowOff>
    </xdr:from>
    <xdr:ext cx="974505" cy="786961"/>
    <xdr:grpSp>
      <xdr:nvGrpSpPr>
        <xdr:cNvPr id="5" name="المجموعة 4" descr="ما هو الجديد أيضاً؟">
          <a:hlinkClick xmlns:r="http://schemas.openxmlformats.org/officeDocument/2006/relationships" r:id="rId4" tooltip="تعرّف على المزيد حول أحدث الميزات في Excel على ويب"/>
          <a:extLst>
            <a:ext uri="{FF2B5EF4-FFF2-40B4-BE49-F238E27FC236}">
              <a16:creationId xmlns:a16="http://schemas.microsoft.com/office/drawing/2014/main" id="{C26483B0-64DC-4BE9-92D8-7D9943F8404A}"/>
            </a:ext>
          </a:extLst>
        </xdr:cNvPr>
        <xdr:cNvGrpSpPr/>
      </xdr:nvGrpSpPr>
      <xdr:grpSpPr>
        <a:xfrm flipH="1">
          <a:off x="10925321982" y="3527712"/>
          <a:ext cx="974505" cy="786961"/>
          <a:chOff x="6717588" y="3592566"/>
          <a:chExt cx="974505" cy="786961"/>
        </a:xfrm>
      </xdr:grpSpPr>
      <xdr:pic>
        <xdr:nvPicPr>
          <xdr:cNvPr id="6" name="الرسم 5" descr="الصحيفة">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73201" y="3769928"/>
            <a:ext cx="669283" cy="609599"/>
          </a:xfrm>
          <a:prstGeom prst="rect">
            <a:avLst/>
          </a:prstGeom>
        </xdr:spPr>
      </xdr:pic>
      <xdr:grpSp>
        <xdr:nvGrpSpPr>
          <xdr:cNvPr id="7" name="المجموعة 6" descr="سطر مشع">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موصل مستقيم 7" descr="سطر">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موصل مستقيم 8" descr="سطر">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موصل مستقيم 9" descr="سطر">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موصل المستقيم 10" descr="سطر">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موصل مستقيم 11" descr="سطر">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 displayName="tbl_Fruit" ref="Z2:Z6" totalsRowShown="0" headerRowDxfId="14" dataDxfId="13" dataCellStyle="GrayCell">
  <autoFilter ref="Z2:Z6" xr:uid="{00000000-0009-0000-0100-000001000000}"/>
  <tableColumns count="1">
    <tableColumn id="1" xr3:uid="{00000000-0010-0000-0000-000001000000}" name="فاكهة" dataDxfId="12" dataCellStyle="GrayCel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FruitType" displayName="tbl_FruitType" ref="AB2:AB4" totalsRowShown="0" headerRowDxfId="11" dataDxfId="10" dataCellStyle="GrayCell">
  <autoFilter ref="AB2:AB4" xr:uid="{00000000-0009-0000-0100-000002000000}"/>
  <tableColumns count="1">
    <tableColumn id="1" xr3:uid="{00000000-0010-0000-0100-000001000000}" name="تفاح" dataDxfId="9" dataCellStyle="GrayCel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FruitType4" displayName="tbl_FruitType4" ref="AD2:AD4" totalsRowShown="0" headerRowDxfId="8" dataDxfId="7" dataCellStyle="GrayCell">
  <autoFilter ref="AD2:AD4" xr:uid="{00000000-0009-0000-0100-000003000000}"/>
  <tableColumns count="1">
    <tableColumn id="1" xr3:uid="{00000000-0010-0000-0200-000001000000}" name="برتقال" dataDxfId="6" dataCellStyle="GrayCel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FruitType5" displayName="tbl_FruitType5" ref="AH2:AH4" totalsRowShown="0" headerRowDxfId="5" dataDxfId="4" dataCellStyle="GrayCell">
  <autoFilter ref="AH2:AH4" xr:uid="{00000000-0009-0000-0100-000004000000}"/>
  <tableColumns count="1">
    <tableColumn id="1" xr3:uid="{00000000-0010-0000-0300-000001000000}" name="ليمون" dataDxfId="3" dataCellStyle="GrayCel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FruitType6" displayName="tbl_FruitType6" ref="AF2:AF4" totalsRowShown="0" headerRowDxfId="2" dataDxfId="1" dataCellStyle="GrayCell">
  <autoFilter ref="AF2:AF4" xr:uid="{00000000-0009-0000-0100-000005000000}"/>
  <tableColumns count="1">
    <tableColumn id="1" xr3:uid="{00000000-0010-0000-0400-000001000000}" name="موز" dataDxfId="0" dataCellStyle="GrayCell"/>
  </tableColumns>
  <tableStyleInfo name="TableStyleMedium2" showFirstColumn="0" showLastColumn="0" showRowStripes="1" showColumnStripes="0"/>
</table>
</file>

<file path=xl/theme/theme1.xml><?xml version="1.0" encoding="utf-8"?>
<a:theme xmlns:a="http://schemas.openxmlformats.org/drawingml/2006/main" name="نسق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support.office.com/ar-SA/article/excel-for-windows-training-9bc05390-e94c-46af-a5b3-d7c22f6990bb?ui=ar-SA&amp;rs=en-001&amp;ad=us"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support.office.com/ar-SA/article/use-excel-as-your-calculator-a1abc057-ed11-443a-a635-68216555ad0a?ui=ar-SA&amp;rs=en-001&amp;ad=us" TargetMode="External"/><Relationship Id="rId2" Type="http://schemas.openxmlformats.org/officeDocument/2006/relationships/hyperlink" Target="https://support.office.com/ar-SA/article/sumif-function-169b8c99-c05c-4483-a712-1697a653039b?ui=ar-SA&amp;rs=en-001&amp;ad=us" TargetMode="External"/><Relationship Id="rId1" Type="http://schemas.openxmlformats.org/officeDocument/2006/relationships/hyperlink" Target="https://support.office.com/ar-SA/article/sum-function-043e1c7d-7726-4e80-8f32-07b23e057f89?ui=ar-SA&amp;rs=en-001&amp;ad=us"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support.office.com/ar-SA/article/excel-for-windows-training-9bc05390-e94c-46af-a5b3-d7c22f6990bb?ui=ar-SA&amp;rs=en-001&amp;ad=us"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upport.office.com/en-us/article/IF-function-69AED7C9-4E8A-4755-A9BC-AA8BBFF73BE2"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support.office.com/ar-SA/article/what-s-new-in-excel-for-office-365-5fdb9208-ff33-45b6-9e08-1f5cdb3a6c73?ui=ar-SA&amp;rs=en-001&amp;ad=us" TargetMode="External"/><Relationship Id="rId1" Type="http://schemas.openxmlformats.org/officeDocument/2006/relationships/hyperlink" Target="https://techcommunity.microsoft.com/t5/excel/ct-p/excel_cat" TargetMode="External"/><Relationship Id="rId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showRowColHeaders="0" rightToLeft="1" tabSelected="1" workbookViewId="0"/>
  </sheetViews>
  <sheetFormatPr defaultColWidth="11.125" defaultRowHeight="20.25" customHeight="1" x14ac:dyDescent="0.2"/>
  <cols>
    <col min="1" max="1" width="115.5" style="68" customWidth="1"/>
    <col min="2" max="2" width="3.5" style="68" customWidth="1"/>
    <col min="3" max="16384" width="11.125" style="68"/>
  </cols>
  <sheetData>
    <row r="1" spans="1:1" ht="20.25" customHeight="1" x14ac:dyDescent="0.8">
      <c r="A1" s="1"/>
    </row>
    <row r="2" spans="1:1" ht="102" customHeight="1" x14ac:dyDescent="0.8">
      <c r="A2" s="1" t="s">
        <v>0</v>
      </c>
    </row>
    <row r="3" spans="1:1" ht="43.5" x14ac:dyDescent="0.3">
      <c r="A3" s="69" t="s">
        <v>1</v>
      </c>
    </row>
    <row r="4" spans="1:1" ht="264" customHeight="1" x14ac:dyDescent="0.2">
      <c r="A4" s="70" t="s">
        <v>2</v>
      </c>
    </row>
    <row r="5" spans="1:1" ht="20.25" customHeight="1" x14ac:dyDescent="0.3">
      <c r="A5" s="71"/>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N86"/>
  <sheetViews>
    <sheetView showGridLines="0" rightToLeft="1" zoomScaleNormal="100" workbookViewId="0">
      <selection activeCell="F3" sqref="F3"/>
    </sheetView>
  </sheetViews>
  <sheetFormatPr defaultColWidth="9.125" defaultRowHeight="14.25" x14ac:dyDescent="0.2"/>
  <cols>
    <col min="1" max="1" width="12.625" style="100" customWidth="1"/>
    <col min="2" max="2" width="82.75" style="80" customWidth="1"/>
    <col min="3" max="3" width="23.625" style="80" bestFit="1" customWidth="1"/>
    <col min="4" max="4" width="2.25" style="80" customWidth="1"/>
    <col min="5" max="5" width="17.875" style="80" customWidth="1"/>
    <col min="6" max="6" width="15.625" style="80" customWidth="1"/>
    <col min="7" max="7" width="13.25" style="80" customWidth="1"/>
    <col min="8" max="10" width="9.125" style="80"/>
    <col min="11" max="11" width="9.125" style="80" customWidth="1"/>
    <col min="12" max="16384" width="9.125" style="80"/>
  </cols>
  <sheetData>
    <row r="1" spans="1:14" ht="60" customHeight="1" x14ac:dyDescent="0.2">
      <c r="A1" s="2" t="s">
        <v>3</v>
      </c>
      <c r="B1" s="78"/>
      <c r="C1" s="3"/>
      <c r="D1" s="83"/>
      <c r="E1" s="83"/>
      <c r="F1" s="83"/>
      <c r="G1" s="78"/>
      <c r="H1" s="78"/>
      <c r="I1" s="78"/>
      <c r="J1" s="78"/>
      <c r="K1" s="82"/>
      <c r="L1" s="82"/>
      <c r="M1" s="82"/>
      <c r="N1" s="82"/>
    </row>
    <row r="2" spans="1:14" ht="15" thickBot="1" x14ac:dyDescent="0.25">
      <c r="A2" s="2" t="s">
        <v>4</v>
      </c>
      <c r="B2" s="78"/>
      <c r="C2" s="104" t="s">
        <v>32</v>
      </c>
      <c r="D2" s="78"/>
      <c r="E2" s="12" t="s">
        <v>33</v>
      </c>
      <c r="F2" s="13" t="s">
        <v>39</v>
      </c>
      <c r="G2" s="13" t="s">
        <v>40</v>
      </c>
      <c r="H2" s="78"/>
      <c r="I2" s="78"/>
      <c r="J2" s="78"/>
      <c r="K2" s="82"/>
      <c r="L2" s="82"/>
      <c r="M2" s="82"/>
      <c r="N2" s="82"/>
    </row>
    <row r="3" spans="1:14" ht="15.75" thickTop="1" thickBot="1" x14ac:dyDescent="0.25">
      <c r="A3" s="2" t="s">
        <v>5</v>
      </c>
      <c r="B3" s="78"/>
      <c r="C3" s="111">
        <v>1</v>
      </c>
      <c r="D3" s="78"/>
      <c r="E3" s="105" t="s">
        <v>34</v>
      </c>
      <c r="F3" s="107"/>
      <c r="G3" s="27">
        <f>C3+C4</f>
        <v>3</v>
      </c>
      <c r="H3" s="78"/>
      <c r="I3" s="78"/>
      <c r="J3" s="78"/>
      <c r="K3" s="82"/>
      <c r="L3" s="82"/>
      <c r="M3" s="82"/>
      <c r="N3" s="82"/>
    </row>
    <row r="4" spans="1:14" ht="15.75" thickTop="1" thickBot="1" x14ac:dyDescent="0.25">
      <c r="A4" s="2" t="s">
        <v>6</v>
      </c>
      <c r="B4" s="78"/>
      <c r="C4" s="111">
        <v>2</v>
      </c>
      <c r="D4" s="78"/>
      <c r="E4" s="105" t="s">
        <v>35</v>
      </c>
      <c r="F4" s="107"/>
      <c r="G4" s="27">
        <f>C3-C4</f>
        <v>-1</v>
      </c>
      <c r="H4" s="78"/>
      <c r="I4" s="78"/>
      <c r="J4" s="78"/>
      <c r="K4" s="82"/>
      <c r="L4" s="82"/>
      <c r="M4" s="82"/>
      <c r="N4" s="82"/>
    </row>
    <row r="5" spans="1:14" ht="15" thickTop="1" x14ac:dyDescent="0.2">
      <c r="A5" s="2" t="s">
        <v>7</v>
      </c>
      <c r="B5" s="78"/>
      <c r="C5" s="78"/>
      <c r="D5" s="78"/>
      <c r="E5" s="105" t="s">
        <v>36</v>
      </c>
      <c r="F5" s="107"/>
      <c r="G5" s="27">
        <f>C3*C4</f>
        <v>2</v>
      </c>
      <c r="H5" s="78"/>
      <c r="I5" s="78"/>
      <c r="J5" s="78"/>
      <c r="K5" s="82"/>
      <c r="L5" s="82"/>
      <c r="M5" s="82"/>
      <c r="N5" s="82"/>
    </row>
    <row r="6" spans="1:14" ht="15" thickBot="1" x14ac:dyDescent="0.25">
      <c r="A6" s="2" t="s">
        <v>8</v>
      </c>
      <c r="B6" s="78"/>
      <c r="C6" s="78"/>
      <c r="D6" s="78"/>
      <c r="E6" s="105" t="s">
        <v>37</v>
      </c>
      <c r="F6" s="107"/>
      <c r="G6" s="27">
        <f>C3/C4</f>
        <v>0.5</v>
      </c>
      <c r="H6" s="78"/>
      <c r="I6" s="78"/>
      <c r="J6" s="78"/>
      <c r="K6" s="82"/>
      <c r="L6" s="82"/>
      <c r="M6" s="82"/>
      <c r="N6" s="82"/>
    </row>
    <row r="7" spans="1:14" ht="15" customHeight="1" thickTop="1" thickBot="1" x14ac:dyDescent="0.25">
      <c r="A7" s="2" t="s">
        <v>9</v>
      </c>
      <c r="B7" s="78"/>
      <c r="C7" s="78"/>
      <c r="D7" s="78"/>
      <c r="E7" s="105" t="s">
        <v>38</v>
      </c>
      <c r="F7" s="108"/>
      <c r="G7" s="27">
        <f>C3^C4</f>
        <v>1</v>
      </c>
      <c r="H7" s="78"/>
      <c r="I7" s="78"/>
      <c r="J7" s="78"/>
      <c r="K7" s="82"/>
      <c r="L7" s="82"/>
      <c r="M7" s="82"/>
      <c r="N7" s="82"/>
    </row>
    <row r="8" spans="1:14" ht="15" thickTop="1" x14ac:dyDescent="0.2">
      <c r="A8" s="2" t="s">
        <v>10</v>
      </c>
      <c r="B8" s="78"/>
      <c r="C8" s="78"/>
      <c r="D8" s="78"/>
      <c r="E8" s="78"/>
      <c r="F8" s="78"/>
      <c r="G8" s="78"/>
      <c r="H8" s="78"/>
      <c r="I8" s="78"/>
      <c r="J8" s="78"/>
      <c r="K8" s="82"/>
      <c r="L8" s="82"/>
      <c r="M8" s="82"/>
      <c r="N8" s="82"/>
    </row>
    <row r="9" spans="1:14" x14ac:dyDescent="0.2">
      <c r="A9" s="2" t="s">
        <v>11</v>
      </c>
      <c r="B9" s="78"/>
      <c r="C9" s="78"/>
      <c r="D9" s="78"/>
      <c r="E9" s="78"/>
      <c r="F9" s="78"/>
      <c r="G9" s="78"/>
      <c r="H9" s="78"/>
      <c r="I9" s="78"/>
      <c r="J9" s="78"/>
      <c r="K9" s="82"/>
      <c r="L9" s="82"/>
      <c r="M9" s="82"/>
      <c r="N9" s="82"/>
    </row>
    <row r="10" spans="1:14" x14ac:dyDescent="0.2">
      <c r="A10" s="2" t="s">
        <v>12</v>
      </c>
      <c r="B10" s="78"/>
      <c r="C10" s="78"/>
      <c r="D10" s="78"/>
      <c r="E10" s="78"/>
      <c r="F10" s="78"/>
      <c r="G10" s="78"/>
      <c r="H10" s="78"/>
      <c r="I10" s="78"/>
      <c r="J10" s="78"/>
      <c r="K10" s="82"/>
      <c r="L10" s="82"/>
      <c r="M10" s="82"/>
      <c r="N10" s="82"/>
    </row>
    <row r="11" spans="1:14" x14ac:dyDescent="0.2">
      <c r="A11" s="2" t="s">
        <v>13</v>
      </c>
      <c r="B11" s="78"/>
      <c r="C11" s="78"/>
      <c r="D11" s="78"/>
      <c r="E11" s="78"/>
      <c r="F11" s="78"/>
      <c r="G11" s="78"/>
      <c r="H11" s="78"/>
      <c r="I11" s="78"/>
      <c r="J11" s="78"/>
      <c r="K11" s="82"/>
      <c r="L11" s="82"/>
      <c r="M11" s="82"/>
      <c r="N11" s="82"/>
    </row>
    <row r="12" spans="1:14" x14ac:dyDescent="0.2">
      <c r="A12" s="2" t="s">
        <v>14</v>
      </c>
      <c r="B12" s="78"/>
      <c r="C12" s="78"/>
      <c r="D12" s="78"/>
      <c r="E12" s="78"/>
      <c r="F12" s="78"/>
      <c r="G12" s="78"/>
      <c r="H12" s="78"/>
      <c r="I12" s="78"/>
      <c r="J12" s="78"/>
      <c r="K12" s="82"/>
      <c r="L12" s="82"/>
      <c r="M12" s="82"/>
      <c r="N12" s="82"/>
    </row>
    <row r="13" spans="1:14" ht="15" customHeight="1" x14ac:dyDescent="0.2">
      <c r="A13" s="4" t="s">
        <v>15</v>
      </c>
      <c r="B13" s="78"/>
      <c r="C13" s="78"/>
      <c r="D13" s="78"/>
      <c r="E13" s="78"/>
      <c r="F13" s="78"/>
      <c r="G13" s="78"/>
      <c r="H13" s="78"/>
      <c r="I13" s="78"/>
      <c r="J13" s="78"/>
      <c r="K13" s="82"/>
      <c r="L13" s="82"/>
      <c r="M13" s="82"/>
      <c r="N13" s="82"/>
    </row>
    <row r="14" spans="1:14" x14ac:dyDescent="0.2">
      <c r="A14" s="2" t="s">
        <v>16</v>
      </c>
      <c r="B14" s="78"/>
      <c r="C14" s="78"/>
      <c r="D14" s="78"/>
      <c r="E14" s="78"/>
      <c r="F14" s="78"/>
      <c r="G14" s="78"/>
      <c r="H14" s="78"/>
      <c r="I14" s="78"/>
      <c r="J14" s="78"/>
      <c r="K14" s="82"/>
      <c r="L14" s="82"/>
      <c r="M14" s="82"/>
      <c r="N14" s="82"/>
    </row>
    <row r="15" spans="1:14" x14ac:dyDescent="0.2">
      <c r="A15" s="2" t="s">
        <v>17</v>
      </c>
      <c r="B15" s="78"/>
      <c r="C15" s="78"/>
      <c r="D15" s="78"/>
      <c r="E15" s="78"/>
      <c r="F15" s="78"/>
      <c r="G15" s="78"/>
      <c r="H15" s="78"/>
      <c r="I15" s="78"/>
      <c r="J15" s="78"/>
      <c r="K15" s="82"/>
      <c r="L15" s="82"/>
      <c r="M15" s="82"/>
      <c r="N15" s="82"/>
    </row>
    <row r="16" spans="1:14" x14ac:dyDescent="0.2">
      <c r="A16" s="2" t="s">
        <v>18</v>
      </c>
      <c r="B16" s="78"/>
      <c r="C16" s="78"/>
      <c r="D16" s="78"/>
      <c r="E16" s="78"/>
      <c r="F16" s="78"/>
      <c r="G16" s="78"/>
      <c r="H16" s="78"/>
      <c r="I16" s="78"/>
      <c r="J16" s="78"/>
      <c r="K16" s="82"/>
      <c r="L16" s="82"/>
      <c r="M16" s="82"/>
      <c r="N16" s="82"/>
    </row>
    <row r="17" spans="1:14" x14ac:dyDescent="0.2">
      <c r="A17" s="2" t="s">
        <v>19</v>
      </c>
      <c r="B17" s="78"/>
      <c r="C17" s="78"/>
      <c r="D17" s="78"/>
      <c r="E17" s="78"/>
      <c r="F17" s="78"/>
      <c r="G17" s="78"/>
      <c r="H17" s="78"/>
      <c r="I17" s="78"/>
      <c r="J17" s="78"/>
      <c r="K17" s="82"/>
      <c r="L17" s="82"/>
      <c r="M17" s="82"/>
      <c r="N17" s="82"/>
    </row>
    <row r="18" spans="1:14" x14ac:dyDescent="0.2">
      <c r="A18" s="2" t="s">
        <v>20</v>
      </c>
      <c r="B18" s="78"/>
      <c r="C18" s="78"/>
      <c r="D18" s="78"/>
      <c r="E18" s="78"/>
      <c r="F18" s="78"/>
      <c r="G18" s="78"/>
      <c r="H18" s="78"/>
      <c r="I18" s="78"/>
      <c r="J18" s="78"/>
      <c r="K18" s="82"/>
      <c r="L18" s="82"/>
      <c r="M18" s="82"/>
      <c r="N18" s="82"/>
    </row>
    <row r="19" spans="1:14" x14ac:dyDescent="0.2">
      <c r="A19" s="2" t="s">
        <v>21</v>
      </c>
      <c r="B19" s="78"/>
      <c r="C19" s="78"/>
      <c r="D19" s="78"/>
      <c r="E19" s="78"/>
      <c r="F19" s="78"/>
      <c r="G19" s="78"/>
      <c r="H19" s="78"/>
      <c r="I19" s="78"/>
      <c r="J19" s="78"/>
      <c r="K19" s="82"/>
      <c r="L19" s="82"/>
      <c r="M19" s="82"/>
      <c r="N19" s="82"/>
    </row>
    <row r="20" spans="1:14" x14ac:dyDescent="0.2">
      <c r="A20" s="2" t="s">
        <v>22</v>
      </c>
      <c r="B20" s="78"/>
      <c r="C20" s="78"/>
      <c r="D20" s="78"/>
      <c r="E20" s="78"/>
      <c r="F20" s="78"/>
      <c r="G20" s="78"/>
      <c r="H20" s="78"/>
      <c r="I20" s="78"/>
      <c r="J20" s="78"/>
      <c r="K20" s="82"/>
      <c r="L20" s="82"/>
      <c r="M20" s="82"/>
      <c r="N20" s="82"/>
    </row>
    <row r="21" spans="1:14" ht="15" customHeight="1" x14ac:dyDescent="0.2">
      <c r="A21" s="4" t="s">
        <v>23</v>
      </c>
      <c r="B21" s="78"/>
      <c r="C21" s="78"/>
      <c r="D21" s="78"/>
      <c r="E21" s="78"/>
      <c r="F21" s="78"/>
      <c r="G21" s="78"/>
      <c r="H21" s="78"/>
      <c r="I21" s="78"/>
      <c r="J21" s="78"/>
      <c r="K21" s="82"/>
      <c r="L21" s="82"/>
      <c r="M21" s="82"/>
      <c r="N21" s="82"/>
    </row>
    <row r="22" spans="1:14" x14ac:dyDescent="0.2">
      <c r="A22" s="2" t="s">
        <v>24</v>
      </c>
      <c r="B22" s="78"/>
      <c r="C22" s="78"/>
      <c r="D22" s="78"/>
      <c r="E22" s="78"/>
      <c r="F22" s="78"/>
      <c r="G22" s="78"/>
      <c r="H22" s="78"/>
      <c r="I22" s="78"/>
      <c r="J22" s="78"/>
      <c r="K22" s="82"/>
      <c r="L22" s="82"/>
      <c r="M22" s="82"/>
      <c r="N22" s="82"/>
    </row>
    <row r="23" spans="1:14" x14ac:dyDescent="0.2">
      <c r="A23" s="2" t="s">
        <v>25</v>
      </c>
      <c r="B23" s="78"/>
      <c r="C23" s="78"/>
      <c r="D23" s="78"/>
      <c r="E23" s="78"/>
      <c r="F23" s="78"/>
      <c r="G23" s="78"/>
      <c r="H23" s="78"/>
      <c r="I23" s="78"/>
      <c r="J23" s="78"/>
      <c r="K23" s="82"/>
      <c r="L23" s="82"/>
      <c r="M23" s="82"/>
      <c r="N23" s="82"/>
    </row>
    <row r="24" spans="1:14" x14ac:dyDescent="0.2">
      <c r="A24" s="2" t="s">
        <v>26</v>
      </c>
      <c r="B24" s="78"/>
      <c r="C24" s="78"/>
      <c r="D24" s="78"/>
      <c r="E24" s="78"/>
      <c r="F24" s="78"/>
      <c r="G24" s="78"/>
      <c r="H24" s="78"/>
      <c r="I24" s="78"/>
      <c r="J24" s="78"/>
      <c r="K24" s="82"/>
      <c r="L24" s="82"/>
      <c r="M24" s="82"/>
      <c r="N24" s="82"/>
    </row>
    <row r="25" spans="1:14" ht="27" x14ac:dyDescent="0.2">
      <c r="A25" s="2" t="s">
        <v>27</v>
      </c>
      <c r="B25" s="78"/>
      <c r="C25" s="3"/>
      <c r="D25" s="83"/>
      <c r="E25" s="83"/>
      <c r="F25" s="83"/>
      <c r="G25" s="83"/>
      <c r="H25" s="78"/>
      <c r="I25" s="78"/>
      <c r="J25" s="78"/>
      <c r="K25" s="82"/>
      <c r="L25" s="82"/>
      <c r="M25" s="82"/>
      <c r="N25" s="82"/>
    </row>
    <row r="26" spans="1:14" x14ac:dyDescent="0.2">
      <c r="A26" s="2" t="s">
        <v>28</v>
      </c>
      <c r="B26" s="78"/>
      <c r="C26" s="78"/>
      <c r="D26" s="78"/>
      <c r="E26" s="78"/>
      <c r="F26" s="78"/>
      <c r="G26" s="78"/>
      <c r="H26" s="78"/>
      <c r="I26" s="78"/>
      <c r="J26" s="78"/>
      <c r="K26" s="82"/>
      <c r="L26" s="82"/>
      <c r="M26" s="82"/>
      <c r="N26" s="82"/>
    </row>
    <row r="27" spans="1:14" x14ac:dyDescent="0.2">
      <c r="A27" s="2" t="s">
        <v>29</v>
      </c>
      <c r="B27" s="78"/>
      <c r="C27" s="78"/>
      <c r="D27" s="78"/>
      <c r="E27" s="78"/>
      <c r="F27" s="78"/>
      <c r="G27" s="78"/>
      <c r="H27" s="78"/>
      <c r="I27" s="78"/>
      <c r="J27" s="78"/>
      <c r="K27" s="82"/>
      <c r="L27" s="82"/>
      <c r="M27" s="82"/>
      <c r="N27" s="82"/>
    </row>
    <row r="28" spans="1:14" ht="25.5" x14ac:dyDescent="0.35">
      <c r="A28" s="2" t="s">
        <v>30</v>
      </c>
      <c r="B28" s="78"/>
      <c r="C28" s="78"/>
      <c r="D28" s="78"/>
      <c r="E28" s="5"/>
      <c r="F28" s="78"/>
      <c r="G28" s="78"/>
      <c r="H28" s="78"/>
      <c r="I28" s="78"/>
      <c r="J28" s="78"/>
      <c r="K28" s="82"/>
      <c r="L28" s="82"/>
      <c r="M28" s="82"/>
      <c r="N28" s="82"/>
    </row>
    <row r="29" spans="1:14" x14ac:dyDescent="0.2">
      <c r="A29" s="2" t="s">
        <v>31</v>
      </c>
      <c r="B29" s="78"/>
      <c r="C29" s="78"/>
      <c r="D29" s="78"/>
      <c r="E29" s="78"/>
      <c r="F29" s="78"/>
      <c r="G29" s="78"/>
      <c r="H29" s="78"/>
      <c r="I29" s="78"/>
      <c r="J29" s="78"/>
      <c r="K29" s="82"/>
      <c r="L29" s="82"/>
      <c r="M29" s="82"/>
      <c r="N29" s="82"/>
    </row>
    <row r="30" spans="1:14" x14ac:dyDescent="0.2">
      <c r="A30" s="2"/>
      <c r="B30" s="78"/>
      <c r="C30" s="78"/>
      <c r="D30" s="78"/>
      <c r="E30" s="78"/>
      <c r="F30" s="78"/>
      <c r="G30" s="78"/>
      <c r="H30" s="78"/>
      <c r="I30" s="78"/>
      <c r="J30" s="78"/>
      <c r="K30" s="82"/>
      <c r="L30" s="82"/>
      <c r="M30" s="82"/>
      <c r="N30" s="82"/>
    </row>
    <row r="31" spans="1:14" x14ac:dyDescent="0.2">
      <c r="A31" s="2"/>
      <c r="B31" s="78"/>
      <c r="C31" s="78"/>
      <c r="D31" s="78"/>
      <c r="E31" s="78"/>
      <c r="F31" s="78"/>
      <c r="G31" s="78"/>
      <c r="H31" s="78"/>
      <c r="I31" s="78"/>
      <c r="J31" s="78"/>
      <c r="K31" s="82"/>
      <c r="L31" s="82"/>
      <c r="M31" s="82"/>
      <c r="N31" s="82"/>
    </row>
    <row r="32" spans="1:14" x14ac:dyDescent="0.2">
      <c r="A32" s="2"/>
      <c r="B32" s="78"/>
      <c r="C32" s="78"/>
      <c r="D32" s="78"/>
      <c r="E32" s="78"/>
      <c r="F32" s="78"/>
      <c r="G32" s="78"/>
      <c r="H32" s="78"/>
      <c r="I32" s="78"/>
      <c r="J32" s="78"/>
      <c r="K32" s="82"/>
      <c r="L32" s="82"/>
      <c r="M32" s="82"/>
      <c r="N32" s="82"/>
    </row>
    <row r="33" spans="1:14" x14ac:dyDescent="0.2">
      <c r="A33" s="2"/>
      <c r="B33" s="78"/>
      <c r="C33" s="78"/>
      <c r="D33" s="78"/>
      <c r="E33" s="78"/>
      <c r="F33" s="78"/>
      <c r="G33" s="78"/>
      <c r="H33" s="78"/>
      <c r="I33" s="78"/>
      <c r="J33" s="78"/>
      <c r="K33" s="82"/>
      <c r="L33" s="82"/>
      <c r="M33" s="82"/>
      <c r="N33" s="82"/>
    </row>
    <row r="34" spans="1:14" x14ac:dyDescent="0.2">
      <c r="A34" s="2"/>
      <c r="B34" s="78"/>
      <c r="C34" s="78"/>
      <c r="D34" s="78"/>
      <c r="E34" s="78"/>
      <c r="F34" s="78"/>
      <c r="G34" s="78"/>
      <c r="H34" s="78"/>
      <c r="I34" s="78"/>
      <c r="J34" s="78"/>
      <c r="K34" s="82"/>
      <c r="L34" s="82"/>
      <c r="M34" s="82"/>
      <c r="N34" s="82"/>
    </row>
    <row r="35" spans="1:14" x14ac:dyDescent="0.2">
      <c r="A35" s="2"/>
      <c r="B35" s="78"/>
      <c r="C35" s="78"/>
      <c r="D35" s="78"/>
      <c r="E35" s="78"/>
      <c r="F35" s="78"/>
      <c r="G35" s="78"/>
      <c r="H35" s="78"/>
      <c r="I35" s="78"/>
      <c r="J35" s="78"/>
      <c r="K35" s="82"/>
      <c r="L35" s="82"/>
      <c r="M35" s="82"/>
      <c r="N35" s="82"/>
    </row>
    <row r="36" spans="1:14" x14ac:dyDescent="0.2">
      <c r="A36" s="2"/>
      <c r="B36" s="78"/>
      <c r="C36" s="78"/>
      <c r="D36" s="78"/>
      <c r="E36" s="78"/>
      <c r="F36" s="78"/>
      <c r="G36" s="78"/>
      <c r="H36" s="78"/>
      <c r="I36" s="78"/>
      <c r="J36" s="78"/>
      <c r="K36" s="82"/>
      <c r="L36" s="82"/>
      <c r="M36" s="82"/>
      <c r="N36" s="82"/>
    </row>
    <row r="37" spans="1:14" x14ac:dyDescent="0.2">
      <c r="A37" s="2"/>
      <c r="B37" s="78"/>
      <c r="C37" s="78"/>
      <c r="D37" s="78"/>
      <c r="E37" s="78"/>
      <c r="F37" s="78"/>
      <c r="G37" s="78"/>
      <c r="H37" s="78"/>
      <c r="I37" s="78"/>
      <c r="J37" s="78"/>
      <c r="K37" s="82"/>
      <c r="L37" s="82"/>
      <c r="M37" s="82"/>
      <c r="N37" s="82"/>
    </row>
    <row r="38" spans="1:14" x14ac:dyDescent="0.2">
      <c r="A38" s="2"/>
      <c r="B38" s="78"/>
      <c r="C38" s="78"/>
      <c r="D38" s="78"/>
      <c r="E38" s="78"/>
      <c r="F38" s="78"/>
      <c r="G38" s="78"/>
      <c r="H38" s="78"/>
      <c r="I38" s="78"/>
      <c r="J38" s="78"/>
      <c r="K38" s="82"/>
      <c r="L38" s="82"/>
      <c r="M38" s="82"/>
      <c r="N38" s="82"/>
    </row>
    <row r="39" spans="1:14" x14ac:dyDescent="0.2">
      <c r="A39" s="2"/>
      <c r="B39" s="78"/>
      <c r="C39" s="78"/>
      <c r="D39" s="78"/>
      <c r="E39" s="78"/>
      <c r="F39" s="78"/>
      <c r="G39" s="78"/>
      <c r="H39" s="78"/>
      <c r="I39" s="78"/>
      <c r="J39" s="78"/>
      <c r="K39" s="82"/>
      <c r="L39" s="82"/>
      <c r="M39" s="82"/>
      <c r="N39" s="82"/>
    </row>
    <row r="40" spans="1:14" x14ac:dyDescent="0.2">
      <c r="A40" s="2"/>
      <c r="B40" s="78"/>
      <c r="C40" s="78"/>
      <c r="D40" s="78"/>
      <c r="E40" s="78"/>
      <c r="F40" s="78"/>
      <c r="G40" s="78"/>
      <c r="H40" s="78"/>
      <c r="I40" s="78"/>
      <c r="J40" s="13" t="s">
        <v>41</v>
      </c>
      <c r="K40" s="82"/>
      <c r="L40" s="82"/>
      <c r="M40" s="82"/>
      <c r="N40" s="82"/>
    </row>
    <row r="41" spans="1:14" x14ac:dyDescent="0.2">
      <c r="A41" s="2"/>
      <c r="B41" s="78"/>
      <c r="C41" s="78"/>
      <c r="D41" s="78"/>
      <c r="E41" s="78"/>
      <c r="F41" s="78"/>
      <c r="G41" s="78"/>
      <c r="H41" s="78"/>
      <c r="I41" s="78"/>
      <c r="J41" s="109">
        <v>4</v>
      </c>
      <c r="K41" s="82"/>
      <c r="L41" s="82"/>
      <c r="M41" s="82"/>
      <c r="N41" s="82"/>
    </row>
    <row r="42" spans="1:14" x14ac:dyDescent="0.2">
      <c r="A42" s="2"/>
      <c r="B42" s="78"/>
      <c r="C42" s="78"/>
      <c r="D42" s="78"/>
      <c r="E42" s="78"/>
      <c r="F42" s="78"/>
      <c r="G42" s="78"/>
      <c r="H42" s="78"/>
      <c r="I42" s="78"/>
      <c r="J42" s="109">
        <v>8</v>
      </c>
      <c r="K42" s="82"/>
      <c r="L42" s="82"/>
      <c r="M42" s="82"/>
      <c r="N42" s="82"/>
    </row>
    <row r="43" spans="1:14" x14ac:dyDescent="0.2">
      <c r="A43" s="2"/>
      <c r="B43" s="78"/>
      <c r="C43" s="78"/>
      <c r="D43" s="78"/>
      <c r="E43" s="78"/>
      <c r="F43" s="78"/>
      <c r="G43" s="78"/>
      <c r="H43" s="78"/>
      <c r="I43" s="78"/>
      <c r="J43" s="110">
        <f>SUM(J41:J42)</f>
        <v>12</v>
      </c>
      <c r="K43" s="82"/>
      <c r="L43" s="82"/>
      <c r="M43" s="82"/>
      <c r="N43" s="82"/>
    </row>
    <row r="44" spans="1:14" x14ac:dyDescent="0.2">
      <c r="A44" s="6"/>
      <c r="B44" s="82"/>
      <c r="C44" s="82"/>
      <c r="D44" s="82"/>
      <c r="E44" s="82"/>
      <c r="F44" s="82"/>
      <c r="G44" s="82"/>
      <c r="H44" s="82"/>
      <c r="I44" s="82"/>
      <c r="J44" s="82"/>
      <c r="K44" s="82"/>
      <c r="L44" s="82"/>
      <c r="M44" s="82"/>
      <c r="N44" s="82"/>
    </row>
    <row r="45" spans="1:14" x14ac:dyDescent="0.2">
      <c r="A45" s="6"/>
      <c r="B45" s="82"/>
      <c r="C45" s="82"/>
      <c r="D45" s="82"/>
      <c r="E45" s="82"/>
      <c r="F45" s="82"/>
      <c r="G45" s="82"/>
      <c r="H45" s="82"/>
      <c r="I45" s="82"/>
      <c r="J45" s="82"/>
      <c r="K45" s="82"/>
      <c r="L45" s="82"/>
      <c r="M45" s="82"/>
      <c r="N45" s="82"/>
    </row>
    <row r="46" spans="1:14" x14ac:dyDescent="0.2">
      <c r="A46" s="6"/>
      <c r="B46" s="82"/>
      <c r="C46" s="82"/>
      <c r="D46" s="82"/>
      <c r="E46" s="82"/>
      <c r="F46" s="82"/>
      <c r="G46" s="82"/>
      <c r="H46" s="82"/>
      <c r="I46" s="82"/>
      <c r="J46" s="82"/>
      <c r="K46" s="82"/>
      <c r="L46" s="82"/>
      <c r="M46" s="82"/>
      <c r="N46" s="82"/>
    </row>
    <row r="47" spans="1:14" x14ac:dyDescent="0.2">
      <c r="A47" s="6"/>
      <c r="B47" s="82"/>
      <c r="C47" s="82"/>
      <c r="D47" s="82"/>
      <c r="E47" s="82"/>
      <c r="F47" s="82"/>
      <c r="G47" s="82"/>
      <c r="H47" s="82"/>
      <c r="I47" s="82"/>
      <c r="J47" s="82"/>
      <c r="K47" s="82"/>
      <c r="L47" s="82"/>
      <c r="M47" s="82"/>
      <c r="N47" s="82"/>
    </row>
    <row r="48" spans="1:14" x14ac:dyDescent="0.2">
      <c r="A48" s="6"/>
      <c r="B48" s="82"/>
      <c r="C48" s="82"/>
      <c r="D48" s="82"/>
      <c r="E48" s="82"/>
      <c r="F48" s="82"/>
      <c r="G48" s="82"/>
      <c r="H48" s="82"/>
      <c r="I48" s="82"/>
      <c r="J48" s="82"/>
      <c r="K48" s="82"/>
      <c r="L48" s="82"/>
      <c r="M48" s="82"/>
      <c r="N48" s="82"/>
    </row>
    <row r="49" spans="1:14" x14ac:dyDescent="0.2">
      <c r="A49" s="6"/>
      <c r="B49" s="82"/>
      <c r="C49" s="82"/>
      <c r="D49" s="82"/>
      <c r="E49" s="82"/>
      <c r="F49" s="82"/>
      <c r="G49" s="82"/>
      <c r="H49" s="82"/>
      <c r="I49" s="82"/>
      <c r="J49" s="82"/>
      <c r="K49" s="82"/>
      <c r="L49" s="82"/>
      <c r="M49" s="82"/>
      <c r="N49" s="82"/>
    </row>
    <row r="50" spans="1:14" x14ac:dyDescent="0.2">
      <c r="A50" s="6"/>
      <c r="B50" s="82"/>
      <c r="C50" s="82"/>
      <c r="D50" s="82"/>
      <c r="E50" s="82"/>
      <c r="F50" s="82"/>
      <c r="G50" s="82"/>
      <c r="H50" s="82"/>
      <c r="I50" s="82"/>
      <c r="J50" s="82"/>
      <c r="K50" s="82"/>
      <c r="L50" s="82"/>
      <c r="M50" s="82"/>
      <c r="N50" s="82"/>
    </row>
    <row r="51" spans="1:14" x14ac:dyDescent="0.2">
      <c r="A51" s="6"/>
      <c r="B51" s="82"/>
      <c r="C51" s="82"/>
      <c r="D51" s="82"/>
      <c r="E51" s="82"/>
      <c r="F51" s="82"/>
      <c r="G51" s="82"/>
      <c r="H51" s="82"/>
      <c r="I51" s="82"/>
      <c r="J51" s="82"/>
      <c r="K51" s="82"/>
      <c r="L51" s="82"/>
      <c r="M51" s="82"/>
      <c r="N51" s="82"/>
    </row>
    <row r="52" spans="1:14" x14ac:dyDescent="0.2">
      <c r="A52" s="6"/>
      <c r="B52" s="82"/>
      <c r="C52" s="82"/>
      <c r="D52" s="82"/>
      <c r="E52" s="82"/>
      <c r="F52" s="82"/>
      <c r="G52" s="82"/>
      <c r="H52" s="82"/>
      <c r="I52" s="82"/>
      <c r="J52" s="82"/>
      <c r="K52" s="82"/>
      <c r="L52" s="82"/>
      <c r="M52" s="82"/>
      <c r="N52" s="82"/>
    </row>
    <row r="53" spans="1:14" x14ac:dyDescent="0.2">
      <c r="A53" s="6"/>
      <c r="B53" s="82"/>
      <c r="C53" s="82"/>
      <c r="D53" s="82"/>
      <c r="E53" s="82"/>
      <c r="F53" s="82"/>
      <c r="G53" s="82"/>
      <c r="H53" s="82"/>
      <c r="I53" s="82"/>
      <c r="J53" s="82"/>
      <c r="K53" s="82"/>
      <c r="L53" s="82"/>
      <c r="M53" s="82"/>
      <c r="N53" s="82"/>
    </row>
    <row r="54" spans="1:14" x14ac:dyDescent="0.2">
      <c r="A54" s="6"/>
      <c r="B54" s="82"/>
      <c r="C54" s="82"/>
      <c r="D54" s="82"/>
      <c r="E54" s="82"/>
      <c r="F54" s="82"/>
      <c r="G54" s="82"/>
      <c r="H54" s="82"/>
      <c r="I54" s="82"/>
      <c r="J54" s="82"/>
      <c r="K54" s="82"/>
      <c r="L54" s="82"/>
      <c r="M54" s="82"/>
      <c r="N54" s="82"/>
    </row>
    <row r="55" spans="1:14" x14ac:dyDescent="0.2">
      <c r="A55" s="6"/>
      <c r="B55" s="82"/>
      <c r="C55" s="82"/>
      <c r="D55" s="82"/>
      <c r="E55" s="82"/>
      <c r="F55" s="82"/>
      <c r="G55" s="82"/>
      <c r="H55" s="82"/>
      <c r="I55" s="82"/>
      <c r="J55" s="82"/>
      <c r="K55" s="82"/>
      <c r="L55" s="82"/>
      <c r="M55" s="82"/>
      <c r="N55" s="82"/>
    </row>
    <row r="56" spans="1:14" x14ac:dyDescent="0.2">
      <c r="A56" s="6"/>
      <c r="B56" s="82"/>
      <c r="C56" s="82"/>
      <c r="D56" s="82"/>
      <c r="E56" s="82"/>
      <c r="F56" s="82"/>
      <c r="G56" s="82"/>
      <c r="H56" s="82"/>
      <c r="I56" s="82"/>
      <c r="J56" s="82"/>
      <c r="K56" s="82"/>
      <c r="L56" s="82"/>
      <c r="M56" s="82"/>
      <c r="N56" s="82"/>
    </row>
    <row r="57" spans="1:14" x14ac:dyDescent="0.2">
      <c r="A57" s="6"/>
      <c r="B57" s="82"/>
      <c r="C57" s="82"/>
      <c r="D57" s="82"/>
      <c r="E57" s="82"/>
      <c r="F57" s="82"/>
      <c r="G57" s="82"/>
      <c r="H57" s="82"/>
      <c r="I57" s="82"/>
      <c r="J57" s="82"/>
      <c r="K57" s="82"/>
      <c r="L57" s="82"/>
      <c r="M57" s="82"/>
      <c r="N57" s="82"/>
    </row>
    <row r="58" spans="1:14" x14ac:dyDescent="0.2">
      <c r="A58" s="6"/>
      <c r="B58" s="82"/>
      <c r="C58" s="82"/>
      <c r="D58" s="82"/>
      <c r="E58" s="82"/>
      <c r="F58" s="82"/>
      <c r="G58" s="82"/>
      <c r="H58" s="82"/>
      <c r="I58" s="82"/>
      <c r="J58" s="82"/>
      <c r="K58" s="82"/>
      <c r="L58" s="82"/>
      <c r="M58" s="82"/>
      <c r="N58" s="82"/>
    </row>
    <row r="59" spans="1:14" x14ac:dyDescent="0.2">
      <c r="A59" s="6"/>
      <c r="B59" s="82"/>
      <c r="C59" s="82"/>
      <c r="D59" s="82"/>
      <c r="E59" s="82"/>
      <c r="F59" s="82"/>
      <c r="G59" s="82"/>
      <c r="H59" s="82"/>
      <c r="I59" s="82"/>
      <c r="J59" s="82"/>
      <c r="K59" s="82"/>
      <c r="L59" s="82"/>
      <c r="M59" s="82"/>
      <c r="N59" s="82"/>
    </row>
    <row r="60" spans="1:14" x14ac:dyDescent="0.2">
      <c r="A60" s="6"/>
      <c r="B60" s="82"/>
      <c r="C60" s="82"/>
      <c r="D60" s="82"/>
      <c r="E60" s="82"/>
      <c r="F60" s="82"/>
      <c r="G60" s="82"/>
      <c r="H60" s="82"/>
      <c r="I60" s="82"/>
      <c r="J60" s="82"/>
      <c r="K60" s="82"/>
      <c r="L60" s="82"/>
      <c r="M60" s="82"/>
      <c r="N60" s="82"/>
    </row>
    <row r="61" spans="1:14" x14ac:dyDescent="0.2">
      <c r="A61" s="6"/>
      <c r="B61" s="82"/>
      <c r="C61" s="82"/>
      <c r="D61" s="82"/>
      <c r="E61" s="82"/>
      <c r="F61" s="82"/>
      <c r="G61" s="82"/>
      <c r="H61" s="82"/>
      <c r="I61" s="82"/>
      <c r="J61" s="82"/>
      <c r="K61" s="82"/>
      <c r="L61" s="82"/>
      <c r="M61" s="82"/>
      <c r="N61" s="82"/>
    </row>
    <row r="62" spans="1:14" x14ac:dyDescent="0.2">
      <c r="A62" s="6"/>
      <c r="B62" s="82"/>
      <c r="C62" s="82"/>
      <c r="D62" s="82"/>
      <c r="E62" s="82"/>
      <c r="F62" s="82"/>
      <c r="G62" s="82"/>
      <c r="H62" s="82"/>
      <c r="I62" s="82"/>
      <c r="J62" s="82"/>
      <c r="K62" s="82"/>
      <c r="L62" s="82"/>
      <c r="M62" s="82"/>
      <c r="N62" s="82"/>
    </row>
    <row r="63" spans="1:14" x14ac:dyDescent="0.2">
      <c r="A63" s="6"/>
      <c r="B63" s="82"/>
      <c r="C63" s="82"/>
      <c r="D63" s="82"/>
      <c r="E63" s="82"/>
      <c r="F63" s="82"/>
      <c r="G63" s="82"/>
      <c r="H63" s="82"/>
      <c r="I63" s="82"/>
      <c r="J63" s="82"/>
      <c r="K63" s="82"/>
      <c r="L63" s="82"/>
      <c r="M63" s="82"/>
      <c r="N63" s="82"/>
    </row>
    <row r="64" spans="1:14" x14ac:dyDescent="0.2">
      <c r="A64" s="6"/>
      <c r="B64" s="82"/>
      <c r="C64" s="82"/>
      <c r="D64" s="82"/>
      <c r="E64" s="82"/>
      <c r="F64" s="82"/>
      <c r="G64" s="106"/>
      <c r="H64" s="82"/>
      <c r="I64" s="82"/>
      <c r="J64" s="82"/>
      <c r="K64" s="82"/>
      <c r="L64" s="82"/>
      <c r="M64" s="82"/>
      <c r="N64" s="82"/>
    </row>
    <row r="65" spans="1:14" x14ac:dyDescent="0.2">
      <c r="A65" s="6"/>
      <c r="B65" s="82"/>
      <c r="C65" s="82"/>
      <c r="D65" s="82"/>
      <c r="E65" s="82"/>
      <c r="F65" s="82"/>
      <c r="G65" s="106"/>
      <c r="H65" s="82"/>
      <c r="I65" s="82"/>
      <c r="J65" s="82"/>
      <c r="K65" s="82"/>
      <c r="L65" s="82"/>
      <c r="M65" s="82"/>
      <c r="N65" s="82"/>
    </row>
    <row r="66" spans="1:14" x14ac:dyDescent="0.2">
      <c r="A66" s="6"/>
      <c r="B66" s="82"/>
      <c r="C66" s="82"/>
      <c r="D66" s="82"/>
      <c r="E66" s="82"/>
      <c r="F66" s="82"/>
      <c r="G66" s="106"/>
      <c r="H66" s="82"/>
      <c r="I66" s="82"/>
      <c r="J66" s="82"/>
      <c r="K66" s="82"/>
      <c r="L66" s="82"/>
      <c r="M66" s="82"/>
      <c r="N66" s="82"/>
    </row>
    <row r="67" spans="1:14" x14ac:dyDescent="0.2">
      <c r="A67" s="6"/>
      <c r="B67" s="82"/>
      <c r="C67" s="82"/>
      <c r="D67" s="82"/>
      <c r="E67" s="82"/>
      <c r="F67" s="82"/>
      <c r="G67" s="106"/>
      <c r="H67" s="82"/>
      <c r="I67" s="82"/>
      <c r="J67" s="82"/>
      <c r="K67" s="82"/>
      <c r="L67" s="82"/>
      <c r="M67" s="82"/>
      <c r="N67" s="82"/>
    </row>
    <row r="68" spans="1:14" x14ac:dyDescent="0.2">
      <c r="A68" s="6"/>
      <c r="B68" s="82"/>
      <c r="C68" s="82"/>
      <c r="D68" s="82"/>
      <c r="E68" s="82"/>
      <c r="F68" s="82"/>
      <c r="G68" s="82"/>
      <c r="H68" s="82"/>
      <c r="I68" s="82"/>
      <c r="J68" s="82"/>
      <c r="K68" s="82"/>
      <c r="L68" s="82"/>
      <c r="M68" s="82"/>
      <c r="N68" s="82"/>
    </row>
    <row r="69" spans="1:14" x14ac:dyDescent="0.2">
      <c r="A69" s="6"/>
      <c r="B69" s="82"/>
      <c r="C69" s="82"/>
      <c r="D69" s="82"/>
      <c r="E69" s="82"/>
      <c r="F69" s="82"/>
      <c r="G69" s="82"/>
      <c r="H69" s="82"/>
      <c r="I69" s="82"/>
      <c r="J69" s="82"/>
      <c r="K69" s="82"/>
      <c r="L69" s="82"/>
      <c r="M69" s="82"/>
      <c r="N69" s="82"/>
    </row>
    <row r="70" spans="1:14" x14ac:dyDescent="0.2">
      <c r="A70" s="6"/>
      <c r="B70" s="82"/>
      <c r="C70" s="82"/>
      <c r="D70" s="82"/>
      <c r="E70" s="82"/>
      <c r="F70" s="82"/>
      <c r="G70" s="82"/>
      <c r="H70" s="82"/>
      <c r="I70" s="82"/>
      <c r="J70" s="82"/>
      <c r="K70" s="82"/>
      <c r="L70" s="82"/>
      <c r="M70" s="82"/>
      <c r="N70" s="82"/>
    </row>
    <row r="71" spans="1:14" x14ac:dyDescent="0.2">
      <c r="A71" s="6"/>
      <c r="B71" s="82"/>
      <c r="C71" s="82"/>
      <c r="D71" s="82"/>
      <c r="E71" s="82"/>
      <c r="F71" s="82"/>
      <c r="G71" s="82"/>
      <c r="H71" s="82"/>
      <c r="I71" s="82"/>
      <c r="J71" s="82"/>
      <c r="K71" s="82"/>
      <c r="L71" s="82"/>
      <c r="M71" s="82"/>
      <c r="N71" s="82"/>
    </row>
    <row r="72" spans="1:14" x14ac:dyDescent="0.2">
      <c r="A72" s="6"/>
      <c r="B72" s="82"/>
      <c r="C72" s="82"/>
      <c r="D72" s="82"/>
      <c r="E72" s="82"/>
      <c r="F72" s="82"/>
      <c r="G72" s="82"/>
      <c r="H72" s="82"/>
      <c r="I72" s="82"/>
      <c r="J72" s="82"/>
      <c r="K72" s="82"/>
      <c r="L72" s="82"/>
      <c r="M72" s="82"/>
      <c r="N72" s="82"/>
    </row>
    <row r="73" spans="1:14" x14ac:dyDescent="0.2">
      <c r="A73" s="6"/>
      <c r="B73" s="82"/>
      <c r="C73" s="82"/>
      <c r="D73" s="82"/>
      <c r="E73" s="82"/>
      <c r="F73" s="82"/>
      <c r="G73" s="82"/>
      <c r="H73" s="82"/>
      <c r="I73" s="82"/>
      <c r="J73" s="82"/>
      <c r="K73" s="82"/>
      <c r="L73" s="82"/>
      <c r="M73" s="82"/>
      <c r="N73" s="82"/>
    </row>
    <row r="74" spans="1:14" x14ac:dyDescent="0.2">
      <c r="A74" s="6"/>
      <c r="B74" s="82"/>
      <c r="C74" s="82"/>
      <c r="D74" s="82"/>
      <c r="E74" s="82"/>
      <c r="F74" s="82"/>
      <c r="G74" s="82"/>
      <c r="H74" s="82"/>
      <c r="I74" s="82"/>
      <c r="J74" s="82"/>
      <c r="K74" s="82"/>
      <c r="L74" s="82"/>
      <c r="M74" s="82"/>
      <c r="N74" s="82"/>
    </row>
    <row r="75" spans="1:14" x14ac:dyDescent="0.2">
      <c r="A75" s="6"/>
      <c r="B75" s="82"/>
      <c r="C75" s="82"/>
      <c r="D75" s="82"/>
      <c r="E75" s="82"/>
      <c r="F75" s="82"/>
      <c r="G75" s="82"/>
      <c r="H75" s="82"/>
      <c r="I75" s="82"/>
      <c r="J75" s="82"/>
      <c r="K75" s="82"/>
      <c r="L75" s="82"/>
      <c r="M75" s="82"/>
      <c r="N75" s="82"/>
    </row>
    <row r="76" spans="1:14" x14ac:dyDescent="0.2">
      <c r="A76" s="6"/>
      <c r="B76" s="82"/>
      <c r="C76" s="82"/>
      <c r="D76" s="82"/>
      <c r="E76" s="82"/>
      <c r="F76" s="82"/>
      <c r="G76" s="82"/>
      <c r="H76" s="82"/>
      <c r="I76" s="82"/>
      <c r="J76" s="82"/>
      <c r="K76" s="82"/>
      <c r="L76" s="82"/>
      <c r="M76" s="82"/>
      <c r="N76" s="82"/>
    </row>
    <row r="77" spans="1:14" x14ac:dyDescent="0.2">
      <c r="A77" s="6"/>
      <c r="B77" s="82"/>
      <c r="C77" s="82"/>
      <c r="D77" s="82"/>
      <c r="E77" s="82"/>
      <c r="F77" s="82"/>
      <c r="G77" s="82"/>
      <c r="H77" s="82"/>
      <c r="I77" s="82"/>
      <c r="J77" s="82"/>
      <c r="K77" s="82"/>
      <c r="L77" s="82"/>
      <c r="M77" s="82"/>
      <c r="N77" s="82"/>
    </row>
    <row r="78" spans="1:14" x14ac:dyDescent="0.2">
      <c r="A78" s="6"/>
      <c r="B78" s="82"/>
      <c r="C78" s="82"/>
      <c r="D78" s="82"/>
      <c r="E78" s="82"/>
      <c r="F78" s="82"/>
      <c r="G78" s="82"/>
      <c r="H78" s="82"/>
      <c r="I78" s="82"/>
      <c r="J78" s="82"/>
      <c r="K78" s="82"/>
      <c r="L78" s="82"/>
      <c r="M78" s="82"/>
      <c r="N78" s="82"/>
    </row>
    <row r="79" spans="1:14" x14ac:dyDescent="0.2">
      <c r="A79" s="6"/>
      <c r="B79" s="82"/>
      <c r="C79" s="82"/>
      <c r="D79" s="82"/>
      <c r="E79" s="82"/>
      <c r="F79" s="82"/>
      <c r="G79" s="82"/>
      <c r="H79" s="82"/>
      <c r="I79" s="82"/>
      <c r="J79" s="82"/>
      <c r="K79" s="82"/>
      <c r="L79" s="82"/>
      <c r="M79" s="82"/>
      <c r="N79" s="82"/>
    </row>
    <row r="80" spans="1:14" x14ac:dyDescent="0.2">
      <c r="A80" s="6"/>
      <c r="B80" s="82"/>
      <c r="C80" s="82"/>
      <c r="D80" s="82"/>
      <c r="E80" s="82"/>
      <c r="F80" s="82"/>
      <c r="G80" s="82"/>
      <c r="H80" s="82"/>
      <c r="I80" s="82"/>
      <c r="J80" s="82"/>
      <c r="K80" s="82"/>
      <c r="L80" s="82"/>
      <c r="M80" s="82"/>
      <c r="N80" s="82"/>
    </row>
    <row r="81" spans="1:14" x14ac:dyDescent="0.2">
      <c r="A81" s="6"/>
      <c r="B81" s="82"/>
      <c r="C81" s="82"/>
      <c r="D81" s="82"/>
      <c r="E81" s="82"/>
      <c r="F81" s="82"/>
      <c r="G81" s="82"/>
      <c r="H81" s="82"/>
      <c r="I81" s="82"/>
      <c r="J81" s="82"/>
      <c r="K81" s="82"/>
      <c r="L81" s="82"/>
      <c r="M81" s="82"/>
      <c r="N81" s="82"/>
    </row>
    <row r="82" spans="1:14" x14ac:dyDescent="0.2">
      <c r="A82" s="6"/>
      <c r="B82" s="82"/>
      <c r="C82" s="82"/>
      <c r="D82" s="82"/>
      <c r="E82" s="82"/>
      <c r="F82" s="82"/>
      <c r="G82" s="82"/>
      <c r="H82" s="82"/>
      <c r="I82" s="82"/>
      <c r="J82" s="82"/>
      <c r="K82" s="82"/>
      <c r="L82" s="82"/>
      <c r="M82" s="82"/>
      <c r="N82" s="82"/>
    </row>
    <row r="83" spans="1:14" x14ac:dyDescent="0.2">
      <c r="A83" s="6"/>
      <c r="B83" s="82"/>
      <c r="C83" s="82"/>
      <c r="D83" s="82"/>
      <c r="E83" s="82"/>
      <c r="F83" s="82"/>
      <c r="G83" s="82"/>
      <c r="H83" s="82"/>
      <c r="I83" s="82"/>
      <c r="J83" s="82"/>
      <c r="K83" s="82"/>
      <c r="L83" s="82"/>
      <c r="M83" s="82"/>
      <c r="N83" s="82"/>
    </row>
    <row r="84" spans="1:14" x14ac:dyDescent="0.2">
      <c r="A84" s="6"/>
      <c r="B84" s="82"/>
      <c r="C84" s="82"/>
      <c r="D84" s="82"/>
      <c r="E84" s="82"/>
      <c r="F84" s="82"/>
      <c r="G84" s="82"/>
      <c r="H84" s="82"/>
      <c r="I84" s="82"/>
      <c r="J84" s="82"/>
      <c r="K84" s="82"/>
      <c r="L84" s="82"/>
      <c r="M84" s="82"/>
      <c r="N84" s="82"/>
    </row>
    <row r="85" spans="1:14" x14ac:dyDescent="0.2">
      <c r="A85" s="6"/>
      <c r="B85" s="82"/>
      <c r="C85" s="82"/>
      <c r="D85" s="82"/>
      <c r="E85" s="82"/>
      <c r="F85" s="82"/>
      <c r="G85" s="82"/>
      <c r="H85" s="82"/>
      <c r="I85" s="82"/>
      <c r="J85" s="82"/>
      <c r="K85" s="82"/>
      <c r="L85" s="82"/>
      <c r="M85" s="82"/>
      <c r="N85" s="82"/>
    </row>
    <row r="86" spans="1:14" ht="17.45" customHeight="1" x14ac:dyDescent="0.2">
      <c r="A86" s="6"/>
      <c r="B86" s="82"/>
      <c r="C86" s="82"/>
      <c r="D86" s="82"/>
      <c r="E86" s="82"/>
      <c r="F86" s="82"/>
      <c r="G86" s="82"/>
      <c r="H86" s="82"/>
      <c r="I86" s="82"/>
      <c r="J86" s="82"/>
      <c r="K86" s="82"/>
      <c r="L86" s="82"/>
      <c r="M86" s="82"/>
      <c r="N86" s="82"/>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88"/>
  <sheetViews>
    <sheetView showGridLines="0" rightToLeft="1" zoomScaleNormal="100" zoomScalePageLayoutView="125" workbookViewId="0">
      <selection activeCell="D7" sqref="D7"/>
    </sheetView>
  </sheetViews>
  <sheetFormatPr defaultColWidth="8.75" defaultRowHeight="15" customHeight="1" x14ac:dyDescent="0.2"/>
  <cols>
    <col min="1" max="1" width="12.625" style="77" customWidth="1"/>
    <col min="2" max="2" width="82.75" style="102" customWidth="1"/>
    <col min="3" max="4" width="13.25" style="102" customWidth="1"/>
    <col min="5" max="5" width="2.25" style="102" customWidth="1"/>
    <col min="6" max="6" width="15.875" style="102" customWidth="1"/>
    <col min="7" max="7" width="13.25" style="102" customWidth="1"/>
    <col min="8" max="16384" width="8.75" style="102"/>
  </cols>
  <sheetData>
    <row r="1" spans="1:13" ht="60" customHeight="1" x14ac:dyDescent="0.4">
      <c r="A1" s="7" t="s">
        <v>42</v>
      </c>
      <c r="B1" s="8"/>
      <c r="C1" s="3"/>
      <c r="D1" s="9"/>
      <c r="E1" s="9"/>
      <c r="F1" s="9"/>
      <c r="G1" s="9"/>
      <c r="H1" s="10"/>
      <c r="I1" s="10"/>
      <c r="J1" s="10"/>
      <c r="K1" s="10"/>
      <c r="L1" s="10"/>
      <c r="M1" s="10"/>
    </row>
    <row r="2" spans="1:13" ht="15" customHeight="1" x14ac:dyDescent="0.2">
      <c r="A2" s="7" t="s">
        <v>43</v>
      </c>
      <c r="B2" s="11"/>
      <c r="C2" s="12" t="s">
        <v>57</v>
      </c>
      <c r="D2" s="13" t="s">
        <v>73</v>
      </c>
      <c r="E2" s="11"/>
      <c r="F2" s="12" t="s">
        <v>76</v>
      </c>
      <c r="G2" s="13" t="s">
        <v>73</v>
      </c>
      <c r="H2" s="10"/>
      <c r="I2" s="10"/>
      <c r="J2" s="10"/>
      <c r="K2" s="10"/>
      <c r="L2" s="10"/>
      <c r="M2" s="10"/>
    </row>
    <row r="3" spans="1:13" ht="15" customHeight="1" x14ac:dyDescent="0.2">
      <c r="A3" s="14" t="s">
        <v>44</v>
      </c>
      <c r="B3" s="15"/>
      <c r="C3" s="16" t="s">
        <v>58</v>
      </c>
      <c r="D3" s="112">
        <v>50</v>
      </c>
      <c r="E3" s="11"/>
      <c r="F3" s="16" t="s">
        <v>77</v>
      </c>
      <c r="G3" s="112">
        <v>50</v>
      </c>
      <c r="H3" s="10"/>
      <c r="I3" s="10"/>
      <c r="J3" s="10"/>
      <c r="K3" s="10"/>
      <c r="L3" s="10"/>
      <c r="M3" s="10"/>
    </row>
    <row r="4" spans="1:13" ht="15" customHeight="1" x14ac:dyDescent="0.2">
      <c r="A4" s="14" t="s">
        <v>312</v>
      </c>
      <c r="B4" s="11"/>
      <c r="C4" s="16" t="s">
        <v>59</v>
      </c>
      <c r="D4" s="112">
        <v>20</v>
      </c>
      <c r="E4" s="11"/>
      <c r="F4" s="16" t="s">
        <v>78</v>
      </c>
      <c r="G4" s="112">
        <v>30</v>
      </c>
      <c r="H4" s="10"/>
      <c r="I4" s="10"/>
      <c r="J4" s="10"/>
      <c r="K4" s="10"/>
      <c r="L4" s="10"/>
      <c r="M4" s="10"/>
    </row>
    <row r="5" spans="1:13" s="103" customFormat="1" ht="15" customHeight="1" x14ac:dyDescent="0.2">
      <c r="A5" s="7" t="s">
        <v>45</v>
      </c>
      <c r="B5" s="11"/>
      <c r="C5" s="16" t="s">
        <v>60</v>
      </c>
      <c r="D5" s="112">
        <v>60</v>
      </c>
      <c r="E5" s="11"/>
      <c r="F5" s="16" t="s">
        <v>79</v>
      </c>
      <c r="G5" s="112">
        <v>10</v>
      </c>
      <c r="H5" s="17"/>
      <c r="I5" s="17"/>
      <c r="J5" s="17"/>
      <c r="K5" s="17"/>
      <c r="L5" s="17"/>
      <c r="M5" s="17"/>
    </row>
    <row r="6" spans="1:13" s="103" customFormat="1" ht="15" customHeight="1" x14ac:dyDescent="0.2">
      <c r="A6" s="7" t="s">
        <v>11</v>
      </c>
      <c r="B6" s="15"/>
      <c r="C6" s="16" t="s">
        <v>61</v>
      </c>
      <c r="D6" s="113">
        <v>40</v>
      </c>
      <c r="E6" s="11"/>
      <c r="F6" s="16" t="s">
        <v>80</v>
      </c>
      <c r="G6" s="113">
        <v>50</v>
      </c>
      <c r="H6" s="17"/>
      <c r="I6" s="17"/>
      <c r="J6" s="17"/>
      <c r="K6" s="17"/>
      <c r="L6" s="17"/>
      <c r="M6" s="17"/>
    </row>
    <row r="7" spans="1:13" s="103" customFormat="1" ht="15" customHeight="1" x14ac:dyDescent="0.2">
      <c r="A7" s="7" t="s">
        <v>46</v>
      </c>
      <c r="B7" s="11"/>
      <c r="C7" s="18" t="s">
        <v>62</v>
      </c>
      <c r="D7" s="114">
        <f>SUM(D3:D6)</f>
        <v>170</v>
      </c>
      <c r="E7" s="11"/>
      <c r="F7" s="18" t="s">
        <v>62</v>
      </c>
      <c r="G7" s="114"/>
      <c r="H7" s="17"/>
      <c r="I7" s="17"/>
      <c r="J7" s="17"/>
      <c r="K7" s="17"/>
      <c r="L7" s="17"/>
      <c r="M7" s="82"/>
    </row>
    <row r="8" spans="1:13" s="103" customFormat="1" ht="15" customHeight="1" x14ac:dyDescent="0.2">
      <c r="A8" s="7" t="s">
        <v>12</v>
      </c>
      <c r="B8" s="11"/>
      <c r="C8" s="11"/>
      <c r="D8" s="11"/>
      <c r="E8" s="11"/>
      <c r="F8" s="11"/>
      <c r="G8" s="11"/>
      <c r="H8" s="17"/>
      <c r="I8" s="17"/>
      <c r="J8" s="17"/>
      <c r="K8" s="17"/>
      <c r="L8" s="17"/>
      <c r="M8" s="82"/>
    </row>
    <row r="9" spans="1:13" s="103" customFormat="1" ht="15" customHeight="1" x14ac:dyDescent="0.2">
      <c r="A9" s="7" t="s">
        <v>47</v>
      </c>
      <c r="B9" s="11"/>
      <c r="C9" s="12" t="s">
        <v>63</v>
      </c>
      <c r="D9" s="13" t="s">
        <v>74</v>
      </c>
      <c r="E9" s="11"/>
      <c r="F9" s="12" t="s">
        <v>63</v>
      </c>
      <c r="G9" s="13" t="s">
        <v>73</v>
      </c>
      <c r="H9" s="17"/>
      <c r="I9" s="17"/>
      <c r="J9" s="17"/>
      <c r="K9" s="17"/>
      <c r="L9" s="17"/>
      <c r="M9" s="82"/>
    </row>
    <row r="10" spans="1:13" s="103" customFormat="1" ht="15" customHeight="1" x14ac:dyDescent="0.2">
      <c r="A10" s="2" t="s">
        <v>48</v>
      </c>
      <c r="B10" s="11"/>
      <c r="C10" s="16" t="s">
        <v>64</v>
      </c>
      <c r="D10" s="112">
        <v>50</v>
      </c>
      <c r="E10" s="11"/>
      <c r="F10" s="16" t="s">
        <v>64</v>
      </c>
      <c r="G10" s="112">
        <v>50</v>
      </c>
      <c r="H10" s="17"/>
      <c r="I10" s="17"/>
      <c r="J10" s="17"/>
      <c r="K10" s="17"/>
      <c r="L10" s="17"/>
      <c r="M10" s="82"/>
    </row>
    <row r="11" spans="1:13" s="103" customFormat="1" ht="15" customHeight="1" x14ac:dyDescent="0.2">
      <c r="A11" s="14" t="s">
        <v>49</v>
      </c>
      <c r="B11" s="11"/>
      <c r="C11" s="16" t="s">
        <v>65</v>
      </c>
      <c r="D11" s="112">
        <v>100</v>
      </c>
      <c r="E11" s="11"/>
      <c r="F11" s="16" t="s">
        <v>65</v>
      </c>
      <c r="G11" s="112">
        <v>100</v>
      </c>
      <c r="H11" s="17"/>
      <c r="I11" s="17"/>
      <c r="J11" s="17"/>
      <c r="K11" s="17"/>
      <c r="L11" s="17"/>
      <c r="M11" s="82"/>
    </row>
    <row r="12" spans="1:13" s="103" customFormat="1" ht="15" customHeight="1" x14ac:dyDescent="0.2">
      <c r="A12" s="7" t="s">
        <v>50</v>
      </c>
      <c r="B12" s="11"/>
      <c r="C12" s="16" t="s">
        <v>66</v>
      </c>
      <c r="D12" s="112">
        <v>40</v>
      </c>
      <c r="E12" s="11"/>
      <c r="F12" s="16" t="s">
        <v>66</v>
      </c>
      <c r="G12" s="112">
        <v>40</v>
      </c>
      <c r="H12" s="17"/>
      <c r="I12" s="17"/>
      <c r="J12" s="17"/>
      <c r="K12" s="17"/>
      <c r="L12" s="17"/>
      <c r="M12" s="82"/>
    </row>
    <row r="13" spans="1:13" s="103" customFormat="1" ht="15" customHeight="1" x14ac:dyDescent="0.2">
      <c r="A13" s="14" t="s">
        <v>310</v>
      </c>
      <c r="B13" s="11"/>
      <c r="C13" s="16" t="s">
        <v>67</v>
      </c>
      <c r="D13" s="112">
        <v>50</v>
      </c>
      <c r="E13" s="11"/>
      <c r="F13" s="16" t="s">
        <v>67</v>
      </c>
      <c r="G13" s="112">
        <v>50</v>
      </c>
      <c r="H13" s="17"/>
      <c r="I13" s="17"/>
      <c r="J13" s="17"/>
      <c r="K13" s="17"/>
      <c r="L13" s="17"/>
      <c r="M13" s="82"/>
    </row>
    <row r="14" spans="1:13" s="103" customFormat="1" ht="15" customHeight="1" thickBot="1" x14ac:dyDescent="0.25">
      <c r="A14" s="19" t="s">
        <v>51</v>
      </c>
      <c r="B14" s="11"/>
      <c r="C14" s="16" t="s">
        <v>68</v>
      </c>
      <c r="D14" s="112">
        <v>20</v>
      </c>
      <c r="E14" s="11"/>
      <c r="F14" s="16" t="s">
        <v>68</v>
      </c>
      <c r="G14" s="112">
        <v>20</v>
      </c>
      <c r="H14" s="17"/>
      <c r="I14" s="17"/>
      <c r="J14" s="17"/>
      <c r="K14" s="17"/>
      <c r="L14" s="17"/>
      <c r="M14" s="82"/>
    </row>
    <row r="15" spans="1:13" s="103" customFormat="1" ht="15" customHeight="1" thickTop="1" thickBot="1" x14ac:dyDescent="0.25">
      <c r="A15" s="7" t="s">
        <v>26</v>
      </c>
      <c r="B15" s="11"/>
      <c r="C15" s="18" t="s">
        <v>62</v>
      </c>
      <c r="D15" s="115"/>
      <c r="E15" s="11"/>
      <c r="F15" s="18" t="s">
        <v>81</v>
      </c>
      <c r="G15" s="108"/>
      <c r="H15" s="17"/>
      <c r="I15" s="17"/>
      <c r="J15" s="17"/>
      <c r="K15" s="17"/>
      <c r="L15" s="17"/>
      <c r="M15" s="82"/>
    </row>
    <row r="16" spans="1:13" s="103" customFormat="1" ht="15" customHeight="1" thickTop="1" x14ac:dyDescent="0.2">
      <c r="A16" s="7" t="s">
        <v>52</v>
      </c>
      <c r="B16" s="11"/>
      <c r="C16" s="11"/>
      <c r="D16" s="11"/>
      <c r="E16" s="11"/>
      <c r="F16" s="11"/>
      <c r="G16" s="11"/>
      <c r="H16" s="17"/>
      <c r="I16" s="17"/>
      <c r="J16" s="17"/>
      <c r="K16" s="17"/>
      <c r="L16" s="17"/>
      <c r="M16" s="82"/>
    </row>
    <row r="17" spans="1:13" s="103" customFormat="1" ht="15" customHeight="1" x14ac:dyDescent="0.2">
      <c r="A17" s="7" t="s">
        <v>53</v>
      </c>
      <c r="B17" s="11"/>
      <c r="C17" s="11"/>
      <c r="D17" s="11"/>
      <c r="E17" s="11"/>
      <c r="F17" s="11"/>
      <c r="G17" s="11"/>
      <c r="H17" s="17"/>
      <c r="I17" s="17"/>
      <c r="J17" s="17"/>
      <c r="K17" s="17"/>
      <c r="L17" s="17"/>
      <c r="M17" s="82"/>
    </row>
    <row r="18" spans="1:13" s="103" customFormat="1" ht="15" customHeight="1" x14ac:dyDescent="0.2">
      <c r="A18" s="7" t="s">
        <v>54</v>
      </c>
      <c r="B18" s="11"/>
      <c r="C18" s="11"/>
      <c r="D18" s="11"/>
      <c r="E18" s="11"/>
      <c r="F18" s="11"/>
      <c r="G18" s="11"/>
      <c r="H18" s="17"/>
      <c r="I18" s="17"/>
      <c r="J18" s="17"/>
      <c r="K18" s="17"/>
      <c r="L18" s="17"/>
      <c r="M18" s="82"/>
    </row>
    <row r="19" spans="1:13" s="103" customFormat="1" ht="15" customHeight="1" x14ac:dyDescent="0.2">
      <c r="A19" s="7" t="s">
        <v>31</v>
      </c>
      <c r="B19" s="11"/>
      <c r="C19" s="78"/>
      <c r="D19" s="11"/>
      <c r="E19" s="11"/>
      <c r="F19" s="11"/>
      <c r="G19" s="11"/>
      <c r="H19" s="17"/>
      <c r="I19" s="17"/>
      <c r="J19" s="17"/>
      <c r="K19" s="17"/>
      <c r="L19" s="17"/>
      <c r="M19" s="82"/>
    </row>
    <row r="20" spans="1:13" s="103" customFormat="1" ht="15" customHeight="1" x14ac:dyDescent="0.2">
      <c r="A20" s="7" t="s">
        <v>55</v>
      </c>
      <c r="B20" s="11"/>
      <c r="C20" s="11"/>
      <c r="D20" s="11"/>
      <c r="E20" s="11"/>
      <c r="F20" s="11"/>
      <c r="G20" s="11"/>
      <c r="H20" s="17"/>
      <c r="I20" s="17"/>
      <c r="J20" s="17"/>
      <c r="K20" s="17"/>
      <c r="L20" s="17"/>
      <c r="M20" s="82"/>
    </row>
    <row r="21" spans="1:13" s="103" customFormat="1" ht="15" customHeight="1" x14ac:dyDescent="0.2">
      <c r="A21" s="7" t="s">
        <v>12</v>
      </c>
      <c r="B21" s="11"/>
      <c r="C21" s="11"/>
      <c r="D21" s="11"/>
      <c r="E21" s="11"/>
      <c r="F21" s="11"/>
      <c r="G21" s="11"/>
      <c r="H21" s="17"/>
      <c r="I21" s="17"/>
      <c r="J21" s="17"/>
      <c r="K21" s="17"/>
      <c r="L21" s="17"/>
      <c r="M21" s="82"/>
    </row>
    <row r="22" spans="1:13" s="103" customFormat="1" ht="15" customHeight="1" x14ac:dyDescent="0.2">
      <c r="A22" s="7"/>
      <c r="B22" s="11"/>
      <c r="C22" s="11"/>
      <c r="D22" s="11"/>
      <c r="E22" s="11"/>
      <c r="F22" s="11"/>
      <c r="G22" s="11"/>
      <c r="H22" s="17"/>
      <c r="I22" s="17"/>
      <c r="J22" s="17"/>
      <c r="K22" s="17"/>
      <c r="L22" s="17"/>
      <c r="M22" s="82"/>
    </row>
    <row r="23" spans="1:13" s="103" customFormat="1" ht="15" customHeight="1" x14ac:dyDescent="0.2">
      <c r="A23" s="7"/>
      <c r="B23" s="11"/>
      <c r="C23" s="11"/>
      <c r="D23" s="11"/>
      <c r="E23" s="11"/>
      <c r="F23" s="11"/>
      <c r="G23" s="11"/>
      <c r="H23" s="17"/>
      <c r="I23" s="17"/>
      <c r="J23" s="17"/>
      <c r="K23" s="17"/>
      <c r="L23" s="17"/>
      <c r="M23" s="17"/>
    </row>
    <row r="24" spans="1:13" ht="15" customHeight="1" x14ac:dyDescent="0.2">
      <c r="A24" s="7"/>
      <c r="B24" s="11"/>
      <c r="C24" s="11"/>
      <c r="D24" s="11"/>
      <c r="E24" s="11"/>
      <c r="F24" s="11"/>
      <c r="G24" s="11"/>
      <c r="H24" s="10"/>
      <c r="I24" s="10"/>
      <c r="J24" s="10"/>
      <c r="K24" s="10"/>
      <c r="L24" s="10"/>
      <c r="M24" s="10"/>
    </row>
    <row r="25" spans="1:13" ht="15" customHeight="1" x14ac:dyDescent="0.2">
      <c r="A25" s="7"/>
      <c r="B25" s="11"/>
      <c r="C25" s="11"/>
      <c r="D25" s="11"/>
      <c r="E25" s="11"/>
      <c r="F25" s="11"/>
      <c r="G25" s="11"/>
      <c r="H25" s="10"/>
      <c r="I25" s="10"/>
      <c r="J25" s="10"/>
      <c r="K25" s="10"/>
      <c r="L25" s="10"/>
      <c r="M25" s="10"/>
    </row>
    <row r="26" spans="1:13" ht="15" customHeight="1" x14ac:dyDescent="0.2">
      <c r="A26" s="7"/>
      <c r="B26" s="11"/>
      <c r="C26" s="11"/>
      <c r="D26" s="11"/>
      <c r="E26" s="11"/>
      <c r="F26" s="11"/>
      <c r="G26" s="11"/>
      <c r="H26" s="82"/>
      <c r="I26" s="10"/>
      <c r="J26" s="10"/>
      <c r="K26" s="10"/>
      <c r="L26" s="10"/>
      <c r="M26" s="10"/>
    </row>
    <row r="27" spans="1:13" ht="15" customHeight="1" x14ac:dyDescent="0.2">
      <c r="A27" s="7"/>
      <c r="B27" s="11"/>
      <c r="C27" s="11"/>
      <c r="D27" s="11"/>
      <c r="E27" s="11"/>
      <c r="F27" s="11"/>
      <c r="G27" s="11"/>
      <c r="H27" s="10"/>
      <c r="I27" s="10"/>
      <c r="J27" s="10"/>
      <c r="K27" s="10"/>
      <c r="L27" s="10"/>
      <c r="M27" s="10"/>
    </row>
    <row r="28" spans="1:13" ht="15" customHeight="1" x14ac:dyDescent="0.2">
      <c r="A28" s="7"/>
      <c r="B28" s="11"/>
      <c r="C28" s="11"/>
      <c r="D28" s="11"/>
      <c r="E28" s="11"/>
      <c r="F28" s="11"/>
      <c r="G28" s="11"/>
      <c r="H28" s="10"/>
      <c r="I28" s="10"/>
      <c r="J28" s="10"/>
      <c r="K28" s="10"/>
      <c r="L28" s="10"/>
      <c r="M28" s="10"/>
    </row>
    <row r="29" spans="1:13" ht="15" customHeight="1" x14ac:dyDescent="0.2">
      <c r="A29" s="7"/>
      <c r="B29" s="11"/>
      <c r="C29" s="11"/>
      <c r="D29" s="11"/>
      <c r="E29" s="11"/>
      <c r="F29" s="11"/>
      <c r="G29" s="11"/>
      <c r="H29" s="10"/>
      <c r="I29" s="10"/>
      <c r="J29" s="10"/>
      <c r="K29" s="10"/>
      <c r="L29" s="10"/>
      <c r="M29" s="10"/>
    </row>
    <row r="30" spans="1:13" ht="15" customHeight="1" x14ac:dyDescent="0.2">
      <c r="A30" s="7"/>
      <c r="B30" s="11"/>
      <c r="C30" s="11"/>
      <c r="D30" s="11"/>
      <c r="E30" s="11"/>
      <c r="F30" s="11"/>
      <c r="G30" s="11"/>
      <c r="H30" s="10"/>
      <c r="I30" s="10"/>
      <c r="J30" s="10"/>
      <c r="K30" s="10"/>
      <c r="L30" s="10"/>
      <c r="M30" s="10"/>
    </row>
    <row r="31" spans="1:13" ht="15" customHeight="1" x14ac:dyDescent="0.2">
      <c r="A31" s="7"/>
      <c r="B31" s="11"/>
      <c r="C31" s="11"/>
      <c r="D31" s="11"/>
      <c r="E31" s="11"/>
      <c r="F31" s="11"/>
      <c r="G31" s="11"/>
      <c r="H31" s="10"/>
      <c r="I31" s="10"/>
      <c r="J31" s="10"/>
      <c r="K31" s="10"/>
      <c r="L31" s="10"/>
      <c r="M31" s="10"/>
    </row>
    <row r="32" spans="1:13" ht="15" customHeight="1" x14ac:dyDescent="0.2">
      <c r="A32" s="7"/>
      <c r="B32" s="11"/>
      <c r="C32" s="11"/>
      <c r="D32" s="11"/>
      <c r="E32" s="11"/>
      <c r="F32" s="11"/>
      <c r="G32" s="11"/>
      <c r="H32" s="10"/>
      <c r="I32" s="10"/>
      <c r="J32" s="10"/>
      <c r="K32" s="10"/>
      <c r="L32" s="10"/>
      <c r="M32" s="10"/>
    </row>
    <row r="33" spans="1:13" ht="15" customHeight="1" x14ac:dyDescent="0.2">
      <c r="A33" s="7"/>
      <c r="B33" s="11"/>
      <c r="C33" s="11"/>
      <c r="D33" s="11"/>
      <c r="E33" s="11"/>
      <c r="F33" s="11"/>
      <c r="G33" s="11"/>
      <c r="H33" s="10"/>
      <c r="I33" s="10"/>
      <c r="J33" s="10"/>
      <c r="K33" s="10"/>
      <c r="L33" s="10"/>
      <c r="M33" s="10"/>
    </row>
    <row r="34" spans="1:13" ht="15" customHeight="1" x14ac:dyDescent="0.2">
      <c r="A34" s="7"/>
      <c r="B34" s="11"/>
      <c r="C34" s="12" t="s">
        <v>57</v>
      </c>
      <c r="D34" s="13" t="s">
        <v>74</v>
      </c>
      <c r="E34" s="11"/>
      <c r="F34" s="11"/>
      <c r="G34" s="11"/>
      <c r="H34" s="10"/>
      <c r="I34" s="10"/>
      <c r="J34" s="10"/>
      <c r="K34" s="10"/>
      <c r="L34" s="10"/>
      <c r="M34" s="10"/>
    </row>
    <row r="35" spans="1:13" ht="15" customHeight="1" x14ac:dyDescent="0.2">
      <c r="A35" s="7"/>
      <c r="B35" s="11"/>
      <c r="C35" s="16" t="s">
        <v>58</v>
      </c>
      <c r="D35" s="112">
        <v>50</v>
      </c>
      <c r="E35" s="11"/>
      <c r="F35" s="11"/>
      <c r="G35" s="11"/>
      <c r="H35" s="10"/>
      <c r="I35" s="10"/>
      <c r="J35" s="10"/>
      <c r="K35" s="10"/>
      <c r="L35" s="10"/>
      <c r="M35" s="10"/>
    </row>
    <row r="36" spans="1:13" ht="15" customHeight="1" x14ac:dyDescent="0.2">
      <c r="A36" s="7"/>
      <c r="B36" s="11"/>
      <c r="C36" s="16" t="s">
        <v>59</v>
      </c>
      <c r="D36" s="112">
        <v>20</v>
      </c>
      <c r="E36" s="11"/>
      <c r="F36" s="11"/>
      <c r="G36" s="11"/>
      <c r="H36" s="10"/>
      <c r="I36" s="10"/>
      <c r="J36" s="10"/>
      <c r="K36" s="10"/>
      <c r="L36" s="10"/>
      <c r="M36" s="10"/>
    </row>
    <row r="37" spans="1:13" ht="15" customHeight="1" x14ac:dyDescent="0.2">
      <c r="A37" s="7"/>
      <c r="B37" s="11"/>
      <c r="C37" s="16" t="s">
        <v>60</v>
      </c>
      <c r="D37" s="112">
        <v>60</v>
      </c>
      <c r="E37" s="11"/>
      <c r="F37" s="11"/>
      <c r="G37" s="11"/>
      <c r="H37" s="10"/>
      <c r="I37" s="10"/>
      <c r="J37" s="10"/>
      <c r="K37" s="10"/>
      <c r="L37" s="10"/>
      <c r="M37" s="10"/>
    </row>
    <row r="38" spans="1:13" ht="15" customHeight="1" x14ac:dyDescent="0.2">
      <c r="A38" s="7"/>
      <c r="B38" s="11"/>
      <c r="C38" s="16" t="s">
        <v>61</v>
      </c>
      <c r="D38" s="112">
        <v>40</v>
      </c>
      <c r="E38" s="11"/>
      <c r="F38" s="11"/>
      <c r="G38" s="11"/>
      <c r="H38" s="10"/>
      <c r="I38" s="10"/>
      <c r="J38" s="10"/>
      <c r="K38" s="10"/>
      <c r="L38" s="10"/>
      <c r="M38" s="10"/>
    </row>
    <row r="39" spans="1:13" ht="15" customHeight="1" x14ac:dyDescent="0.2">
      <c r="A39" s="7"/>
      <c r="B39" s="11"/>
      <c r="C39" s="18" t="s">
        <v>62</v>
      </c>
      <c r="D39" s="115">
        <f>SUM(D35:D38)</f>
        <v>170</v>
      </c>
      <c r="E39" s="11"/>
      <c r="F39" s="11"/>
      <c r="G39" s="11"/>
      <c r="H39" s="10"/>
      <c r="I39" s="10"/>
      <c r="J39" s="10"/>
      <c r="K39" s="10"/>
      <c r="L39" s="10"/>
      <c r="M39" s="10"/>
    </row>
    <row r="40" spans="1:13" ht="15" customHeight="1" x14ac:dyDescent="0.2">
      <c r="A40" s="7"/>
      <c r="B40" s="11"/>
      <c r="C40" s="11"/>
      <c r="D40" s="11"/>
      <c r="E40" s="11"/>
      <c r="F40" s="11"/>
      <c r="G40" s="11"/>
      <c r="H40" s="10"/>
      <c r="I40" s="10"/>
      <c r="J40" s="10"/>
      <c r="K40" s="10"/>
      <c r="L40" s="10"/>
      <c r="M40" s="10"/>
    </row>
    <row r="41" spans="1:13" ht="15" customHeight="1" x14ac:dyDescent="0.2">
      <c r="A41" s="7"/>
      <c r="B41" s="11"/>
      <c r="C41" s="11"/>
      <c r="D41" s="11"/>
      <c r="E41" s="11"/>
      <c r="F41" s="11"/>
      <c r="G41" s="11"/>
      <c r="H41" s="10"/>
      <c r="I41" s="10"/>
      <c r="J41" s="10"/>
      <c r="K41" s="10"/>
      <c r="L41" s="10"/>
      <c r="M41" s="10"/>
    </row>
    <row r="42" spans="1:13" ht="15" customHeight="1" x14ac:dyDescent="0.2">
      <c r="A42" s="7"/>
      <c r="B42" s="11"/>
      <c r="C42" s="11"/>
      <c r="D42" s="11"/>
      <c r="E42" s="11"/>
      <c r="F42" s="11"/>
      <c r="G42" s="11"/>
      <c r="H42" s="10"/>
      <c r="I42" s="10"/>
      <c r="J42" s="10"/>
      <c r="K42" s="10"/>
      <c r="L42" s="10"/>
      <c r="M42" s="10"/>
    </row>
    <row r="43" spans="1:13" ht="15" customHeight="1" x14ac:dyDescent="0.2">
      <c r="A43" s="7"/>
      <c r="B43" s="11"/>
      <c r="C43" s="11"/>
      <c r="D43" s="11"/>
      <c r="E43" s="11"/>
      <c r="F43" s="11"/>
      <c r="G43" s="11"/>
      <c r="H43" s="10"/>
      <c r="I43" s="10"/>
      <c r="J43" s="10"/>
      <c r="K43" s="10"/>
      <c r="L43" s="10"/>
      <c r="M43" s="10"/>
    </row>
    <row r="44" spans="1:13" ht="15" customHeight="1" x14ac:dyDescent="0.2">
      <c r="A44" s="7"/>
      <c r="B44" s="11"/>
      <c r="C44" s="12" t="s">
        <v>63</v>
      </c>
      <c r="D44" s="13" t="s">
        <v>73</v>
      </c>
      <c r="E44" s="11"/>
      <c r="F44" s="11"/>
      <c r="G44" s="11"/>
      <c r="H44" s="10"/>
      <c r="I44" s="10"/>
      <c r="J44" s="10"/>
      <c r="K44" s="10"/>
      <c r="L44" s="10"/>
      <c r="M44" s="10"/>
    </row>
    <row r="45" spans="1:13" ht="15" customHeight="1" x14ac:dyDescent="0.2">
      <c r="A45" s="7"/>
      <c r="B45" s="11"/>
      <c r="C45" s="16" t="s">
        <v>69</v>
      </c>
      <c r="D45" s="112">
        <v>20</v>
      </c>
      <c r="E45" s="11"/>
      <c r="F45" s="11"/>
      <c r="G45" s="11"/>
      <c r="H45" s="10"/>
      <c r="I45" s="10"/>
      <c r="J45" s="10"/>
      <c r="K45" s="10"/>
      <c r="L45" s="10"/>
      <c r="M45" s="10"/>
    </row>
    <row r="46" spans="1:13" ht="15" customHeight="1" x14ac:dyDescent="0.2">
      <c r="A46" s="7"/>
      <c r="B46" s="11"/>
      <c r="C46" s="16" t="s">
        <v>70</v>
      </c>
      <c r="D46" s="112">
        <v>10</v>
      </c>
      <c r="E46" s="11"/>
      <c r="F46" s="11"/>
      <c r="G46" s="11"/>
      <c r="H46" s="10"/>
      <c r="I46" s="10"/>
      <c r="J46" s="10"/>
      <c r="K46" s="10"/>
      <c r="L46" s="10"/>
      <c r="M46" s="10"/>
    </row>
    <row r="47" spans="1:13" ht="15" customHeight="1" x14ac:dyDescent="0.2">
      <c r="A47" s="7"/>
      <c r="B47" s="11"/>
      <c r="C47" s="16" t="s">
        <v>71</v>
      </c>
      <c r="D47" s="112">
        <v>10</v>
      </c>
      <c r="E47" s="11"/>
      <c r="F47" s="11"/>
      <c r="G47" s="11"/>
      <c r="H47" s="10"/>
      <c r="I47" s="10"/>
      <c r="J47" s="10"/>
      <c r="K47" s="10"/>
      <c r="L47" s="10"/>
      <c r="M47" s="10"/>
    </row>
    <row r="48" spans="1:13" ht="15" customHeight="1" x14ac:dyDescent="0.2">
      <c r="A48" s="7"/>
      <c r="B48" s="11"/>
      <c r="C48" s="16" t="s">
        <v>72</v>
      </c>
      <c r="D48" s="112">
        <v>40</v>
      </c>
      <c r="E48" s="11"/>
      <c r="F48" s="11"/>
      <c r="G48" s="11"/>
      <c r="H48" s="10"/>
      <c r="I48" s="10"/>
      <c r="J48" s="10"/>
      <c r="K48" s="10"/>
      <c r="L48" s="10"/>
      <c r="M48" s="10"/>
    </row>
    <row r="49" spans="1:13" ht="15" customHeight="1" x14ac:dyDescent="0.2">
      <c r="A49" s="7"/>
      <c r="B49" s="11"/>
      <c r="C49" s="11"/>
      <c r="D49" s="11"/>
      <c r="E49" s="11"/>
      <c r="F49" s="11"/>
      <c r="G49" s="11"/>
      <c r="H49" s="10"/>
      <c r="I49" s="10"/>
      <c r="J49" s="10"/>
      <c r="K49" s="10"/>
      <c r="L49" s="10"/>
      <c r="M49" s="10"/>
    </row>
    <row r="50" spans="1:13" ht="15" customHeight="1" x14ac:dyDescent="0.2">
      <c r="A50" s="7"/>
      <c r="B50" s="11"/>
      <c r="C50" s="11"/>
      <c r="D50" s="13" t="s">
        <v>75</v>
      </c>
      <c r="E50" s="11"/>
      <c r="F50" s="13" t="s">
        <v>82</v>
      </c>
      <c r="G50" s="13" t="s">
        <v>83</v>
      </c>
      <c r="H50" s="10"/>
      <c r="I50" s="10"/>
      <c r="J50" s="10"/>
      <c r="K50" s="10"/>
      <c r="L50" s="10"/>
      <c r="M50" s="10"/>
    </row>
    <row r="51" spans="1:13" ht="15" customHeight="1" x14ac:dyDescent="0.2">
      <c r="A51" s="7"/>
      <c r="B51" s="11"/>
      <c r="C51" s="11"/>
      <c r="D51" s="20">
        <f>SUM(D45:D48,100)</f>
        <v>180</v>
      </c>
      <c r="E51" s="11"/>
      <c r="F51" s="20">
        <v>100</v>
      </c>
      <c r="G51" s="20">
        <f>SUM(D45:D48,F51)</f>
        <v>180</v>
      </c>
      <c r="H51" s="10"/>
      <c r="I51" s="10"/>
      <c r="J51" s="10"/>
      <c r="K51" s="10"/>
      <c r="L51" s="10"/>
      <c r="M51" s="10"/>
    </row>
    <row r="52" spans="1:13" ht="15" customHeight="1" x14ac:dyDescent="0.2">
      <c r="A52" s="7"/>
      <c r="B52" s="11"/>
      <c r="C52" s="11"/>
      <c r="D52" s="11"/>
      <c r="E52" s="11"/>
      <c r="F52" s="11"/>
      <c r="G52" s="11"/>
      <c r="H52" s="10"/>
      <c r="I52" s="10"/>
      <c r="J52" s="10"/>
      <c r="K52" s="10"/>
      <c r="L52" s="10"/>
      <c r="M52" s="10"/>
    </row>
    <row r="53" spans="1:13" ht="15" customHeight="1" x14ac:dyDescent="0.2">
      <c r="A53" s="7"/>
      <c r="B53" s="11"/>
      <c r="C53" s="11"/>
      <c r="D53" s="11"/>
      <c r="E53" s="11"/>
      <c r="F53" s="11"/>
      <c r="G53" s="11"/>
      <c r="H53" s="10"/>
      <c r="I53" s="10"/>
      <c r="J53" s="10"/>
      <c r="K53" s="10"/>
      <c r="L53" s="10"/>
      <c r="M53" s="10"/>
    </row>
    <row r="54" spans="1:13" ht="15" customHeight="1" x14ac:dyDescent="0.2">
      <c r="A54" s="7"/>
      <c r="B54" s="11"/>
      <c r="C54" s="11"/>
      <c r="D54" s="11"/>
      <c r="E54" s="11"/>
      <c r="F54" s="11"/>
      <c r="G54" s="11"/>
      <c r="H54" s="10"/>
      <c r="I54" s="10"/>
      <c r="J54" s="10"/>
      <c r="K54" s="10"/>
      <c r="L54" s="10"/>
      <c r="M54" s="10"/>
    </row>
    <row r="55" spans="1:13" ht="15" customHeight="1" x14ac:dyDescent="0.2">
      <c r="A55" s="7"/>
      <c r="B55" s="11"/>
      <c r="C55" s="11"/>
      <c r="D55" s="11"/>
      <c r="E55" s="11"/>
      <c r="F55" s="11"/>
      <c r="G55" s="11"/>
      <c r="H55" s="10"/>
      <c r="I55" s="10"/>
      <c r="J55" s="10"/>
      <c r="K55" s="10"/>
      <c r="L55" s="10"/>
      <c r="M55" s="10"/>
    </row>
    <row r="56" spans="1:13" ht="15" customHeight="1" x14ac:dyDescent="0.2">
      <c r="A56" s="7"/>
      <c r="B56" s="11"/>
      <c r="C56" s="11"/>
      <c r="D56" s="11"/>
      <c r="E56" s="11"/>
      <c r="F56" s="11"/>
      <c r="G56" s="11"/>
      <c r="H56" s="10"/>
      <c r="I56" s="10"/>
      <c r="J56" s="10"/>
      <c r="K56" s="10"/>
      <c r="L56" s="10"/>
      <c r="M56" s="10"/>
    </row>
    <row r="57" spans="1:13" ht="15" customHeight="1" x14ac:dyDescent="0.2">
      <c r="A57" s="7"/>
      <c r="B57" s="11"/>
      <c r="C57" s="11"/>
      <c r="D57" s="11"/>
      <c r="E57" s="11"/>
      <c r="F57" s="11"/>
      <c r="G57" s="11"/>
      <c r="H57" s="10"/>
      <c r="I57" s="10"/>
      <c r="J57" s="10"/>
      <c r="K57" s="10"/>
      <c r="L57" s="10"/>
      <c r="M57" s="10"/>
    </row>
    <row r="58" spans="1:13" ht="15" customHeight="1" x14ac:dyDescent="0.2">
      <c r="A58" s="7"/>
      <c r="B58" s="11"/>
      <c r="C58" s="11"/>
      <c r="D58" s="11"/>
      <c r="E58" s="11"/>
      <c r="F58" s="11"/>
      <c r="G58" s="11"/>
      <c r="H58" s="10"/>
      <c r="I58" s="10"/>
      <c r="J58" s="10"/>
      <c r="K58" s="10"/>
      <c r="L58" s="10"/>
      <c r="M58" s="10"/>
    </row>
    <row r="59" spans="1:13" ht="15" customHeight="1" x14ac:dyDescent="0.2">
      <c r="A59" s="7"/>
      <c r="B59" s="11"/>
      <c r="C59" s="11"/>
      <c r="D59" s="11"/>
      <c r="E59" s="11"/>
      <c r="F59" s="11"/>
      <c r="G59" s="11"/>
      <c r="H59" s="10"/>
      <c r="I59" s="10"/>
      <c r="J59" s="10"/>
      <c r="K59" s="10"/>
      <c r="L59" s="10"/>
      <c r="M59" s="10"/>
    </row>
    <row r="60" spans="1:13" ht="15" customHeight="1" x14ac:dyDescent="0.2">
      <c r="A60" s="7"/>
      <c r="B60" s="11"/>
      <c r="C60" s="11"/>
      <c r="D60" s="11"/>
      <c r="E60" s="11"/>
      <c r="F60" s="11"/>
      <c r="G60" s="11"/>
      <c r="H60" s="10"/>
      <c r="I60" s="10"/>
      <c r="J60" s="10"/>
      <c r="K60" s="10"/>
      <c r="L60" s="10"/>
      <c r="M60" s="10"/>
    </row>
    <row r="61" spans="1:13" ht="15" customHeight="1" x14ac:dyDescent="0.2">
      <c r="A61" s="7"/>
      <c r="B61" s="11"/>
      <c r="C61" s="11"/>
      <c r="D61" s="11"/>
      <c r="E61" s="11"/>
      <c r="F61" s="11"/>
      <c r="G61" s="11"/>
      <c r="H61" s="10"/>
      <c r="I61" s="10"/>
      <c r="J61" s="10"/>
      <c r="K61" s="10"/>
      <c r="L61" s="10"/>
      <c r="M61" s="10"/>
    </row>
    <row r="62" spans="1:13" ht="15" customHeight="1" x14ac:dyDescent="0.2">
      <c r="A62" s="7"/>
      <c r="B62" s="11"/>
      <c r="C62" s="11"/>
      <c r="D62" s="11"/>
      <c r="E62" s="11"/>
      <c r="F62" s="11"/>
      <c r="G62" s="11"/>
      <c r="H62" s="10"/>
      <c r="I62" s="10"/>
      <c r="J62" s="10"/>
      <c r="K62" s="10"/>
      <c r="L62" s="10"/>
      <c r="M62" s="10"/>
    </row>
    <row r="63" spans="1:13" ht="15" customHeight="1" x14ac:dyDescent="0.2">
      <c r="A63" s="7"/>
      <c r="B63" s="11"/>
      <c r="C63" s="11"/>
      <c r="D63" s="11"/>
      <c r="E63" s="11"/>
      <c r="F63" s="11"/>
      <c r="G63" s="11"/>
      <c r="H63" s="10"/>
      <c r="I63" s="10"/>
      <c r="J63" s="10"/>
      <c r="K63" s="10"/>
      <c r="L63" s="10"/>
      <c r="M63" s="10"/>
    </row>
    <row r="64" spans="1:13" ht="15" customHeight="1" x14ac:dyDescent="0.2">
      <c r="A64" s="7"/>
      <c r="B64" s="11"/>
      <c r="C64" s="11"/>
      <c r="D64" s="11"/>
      <c r="E64" s="11"/>
      <c r="F64" s="11"/>
      <c r="G64" s="11"/>
      <c r="H64" s="10"/>
      <c r="I64" s="10"/>
      <c r="J64" s="10"/>
      <c r="K64" s="10"/>
      <c r="L64" s="10"/>
      <c r="M64" s="10"/>
    </row>
    <row r="65" spans="1:13" ht="15" customHeight="1" x14ac:dyDescent="0.2">
      <c r="A65" s="7"/>
      <c r="B65" s="11"/>
      <c r="C65" s="11"/>
      <c r="D65" s="11"/>
      <c r="E65" s="11"/>
      <c r="F65" s="11"/>
      <c r="G65" s="11"/>
      <c r="H65" s="10"/>
      <c r="I65" s="10"/>
      <c r="J65" s="10"/>
      <c r="K65" s="10"/>
      <c r="L65" s="10"/>
      <c r="M65" s="10"/>
    </row>
    <row r="66" spans="1:13" ht="15" customHeight="1" x14ac:dyDescent="0.2">
      <c r="A66" s="7"/>
      <c r="B66" s="11"/>
      <c r="C66" s="11"/>
      <c r="D66" s="11"/>
      <c r="E66" s="11"/>
      <c r="F66" s="11"/>
      <c r="G66" s="11"/>
      <c r="H66" s="10"/>
      <c r="I66" s="10"/>
      <c r="J66" s="10"/>
      <c r="K66" s="10"/>
      <c r="L66" s="10"/>
      <c r="M66" s="10"/>
    </row>
    <row r="67" spans="1:13" ht="15" customHeight="1" x14ac:dyDescent="0.2">
      <c r="A67" s="7"/>
      <c r="B67" s="11"/>
      <c r="C67" s="11"/>
      <c r="D67" s="11"/>
      <c r="E67" s="11"/>
      <c r="F67" s="11"/>
      <c r="G67" s="11"/>
      <c r="H67" s="10"/>
      <c r="I67" s="10"/>
      <c r="J67" s="10"/>
      <c r="K67" s="10"/>
      <c r="L67" s="10"/>
      <c r="M67" s="10"/>
    </row>
    <row r="68" spans="1:13" ht="15" customHeight="1" x14ac:dyDescent="0.2">
      <c r="A68" s="7"/>
      <c r="B68" s="11"/>
      <c r="C68" s="11"/>
      <c r="D68" s="11"/>
      <c r="E68" s="11"/>
      <c r="F68" s="11"/>
      <c r="G68" s="11"/>
      <c r="H68" s="10"/>
      <c r="I68" s="10"/>
      <c r="J68" s="10"/>
      <c r="K68" s="10"/>
      <c r="L68" s="10"/>
      <c r="M68" s="10"/>
    </row>
    <row r="69" spans="1:13" ht="15" customHeight="1" x14ac:dyDescent="0.2">
      <c r="A69" s="7"/>
      <c r="B69" s="11"/>
      <c r="C69" s="11"/>
      <c r="D69" s="11"/>
      <c r="E69" s="11"/>
      <c r="F69" s="11"/>
      <c r="G69" s="11"/>
      <c r="H69" s="10"/>
      <c r="I69" s="10"/>
      <c r="J69" s="10"/>
      <c r="K69" s="10"/>
      <c r="L69" s="10"/>
      <c r="M69" s="10"/>
    </row>
    <row r="70" spans="1:13" ht="15" customHeight="1" x14ac:dyDescent="0.2">
      <c r="A70" s="7"/>
      <c r="B70" s="11"/>
      <c r="C70" s="11"/>
      <c r="D70" s="11"/>
      <c r="E70" s="11"/>
      <c r="F70" s="11"/>
      <c r="G70" s="11"/>
      <c r="H70" s="10"/>
      <c r="I70" s="10"/>
      <c r="J70" s="10"/>
      <c r="K70" s="10"/>
      <c r="L70" s="10"/>
      <c r="M70" s="10"/>
    </row>
    <row r="71" spans="1:13" ht="15" customHeight="1" x14ac:dyDescent="0.2">
      <c r="A71" s="7"/>
      <c r="B71" s="11"/>
      <c r="C71" s="11"/>
      <c r="D71" s="11"/>
      <c r="E71" s="11"/>
      <c r="F71" s="11"/>
      <c r="G71" s="11"/>
      <c r="H71" s="10"/>
      <c r="I71" s="10"/>
      <c r="J71" s="10"/>
      <c r="K71" s="10"/>
      <c r="L71" s="10"/>
      <c r="M71" s="10"/>
    </row>
    <row r="72" spans="1:13" ht="15" customHeight="1" x14ac:dyDescent="0.2">
      <c r="A72" s="7"/>
      <c r="B72" s="11"/>
      <c r="C72" s="11"/>
      <c r="D72" s="11"/>
      <c r="E72" s="11"/>
      <c r="F72" s="11"/>
      <c r="G72" s="11"/>
      <c r="H72" s="10"/>
      <c r="I72" s="10"/>
      <c r="J72" s="10"/>
      <c r="K72" s="10"/>
      <c r="L72" s="10"/>
      <c r="M72" s="10"/>
    </row>
    <row r="73" spans="1:13" ht="15" customHeight="1" x14ac:dyDescent="0.2">
      <c r="A73" s="7"/>
      <c r="B73" s="11"/>
      <c r="C73" s="11"/>
      <c r="D73" s="11"/>
      <c r="E73" s="11"/>
      <c r="F73" s="11"/>
      <c r="G73" s="11"/>
      <c r="H73" s="10"/>
      <c r="I73" s="10"/>
      <c r="J73" s="10"/>
      <c r="K73" s="10"/>
      <c r="L73" s="10"/>
      <c r="M73" s="10"/>
    </row>
    <row r="74" spans="1:13" ht="15" customHeight="1" x14ac:dyDescent="0.2">
      <c r="A74" s="7"/>
      <c r="B74" s="11"/>
      <c r="C74" s="11"/>
      <c r="D74" s="11"/>
      <c r="E74" s="11"/>
      <c r="F74" s="11"/>
      <c r="G74" s="11"/>
      <c r="H74" s="10"/>
      <c r="I74" s="10"/>
      <c r="J74" s="10"/>
      <c r="K74" s="10"/>
      <c r="L74" s="10"/>
      <c r="M74" s="10"/>
    </row>
    <row r="75" spans="1:13" ht="15" customHeight="1" x14ac:dyDescent="0.2">
      <c r="A75" s="7"/>
      <c r="B75" s="11"/>
      <c r="C75" s="11"/>
      <c r="D75" s="11"/>
      <c r="E75" s="11"/>
      <c r="F75" s="11"/>
      <c r="G75" s="11"/>
      <c r="H75" s="10"/>
      <c r="I75" s="10"/>
      <c r="J75" s="10"/>
      <c r="K75" s="10"/>
      <c r="L75" s="10"/>
      <c r="M75" s="10"/>
    </row>
    <row r="76" spans="1:13" ht="15" customHeight="1" x14ac:dyDescent="0.2">
      <c r="A76" s="7"/>
      <c r="B76" s="11"/>
      <c r="C76" s="11"/>
      <c r="D76" s="11"/>
      <c r="E76" s="11"/>
      <c r="F76" s="11"/>
      <c r="G76" s="11"/>
      <c r="H76" s="10"/>
      <c r="I76" s="10"/>
      <c r="J76" s="10"/>
      <c r="K76" s="10"/>
      <c r="L76" s="10"/>
      <c r="M76" s="10"/>
    </row>
    <row r="77" spans="1:13" ht="15" customHeight="1" x14ac:dyDescent="0.2">
      <c r="A77" s="7"/>
      <c r="B77" s="11"/>
      <c r="C77" s="11"/>
      <c r="D77" s="11"/>
      <c r="E77" s="11"/>
      <c r="F77" s="11"/>
      <c r="G77" s="11"/>
      <c r="H77" s="10"/>
      <c r="I77" s="10"/>
      <c r="J77" s="10"/>
      <c r="K77" s="10"/>
      <c r="L77" s="10"/>
      <c r="M77" s="10"/>
    </row>
    <row r="78" spans="1:13" ht="15" customHeight="1" x14ac:dyDescent="0.2">
      <c r="A78" s="7"/>
      <c r="B78" s="11"/>
      <c r="C78" s="11"/>
      <c r="D78" s="11"/>
      <c r="E78" s="11"/>
      <c r="F78" s="11"/>
      <c r="G78" s="11"/>
      <c r="H78" s="10"/>
      <c r="I78" s="10"/>
      <c r="J78" s="10"/>
      <c r="K78" s="10"/>
      <c r="L78" s="10"/>
      <c r="M78" s="10"/>
    </row>
    <row r="79" spans="1:13" ht="15" customHeight="1" x14ac:dyDescent="0.2">
      <c r="A79" s="7"/>
      <c r="B79" s="11"/>
      <c r="C79" s="11"/>
      <c r="D79" s="11"/>
      <c r="E79" s="11"/>
      <c r="F79" s="11"/>
      <c r="G79" s="11"/>
      <c r="H79" s="10"/>
      <c r="I79" s="10"/>
      <c r="J79" s="10"/>
      <c r="K79" s="10"/>
      <c r="L79" s="10"/>
      <c r="M79" s="10"/>
    </row>
    <row r="80" spans="1:13" ht="15" customHeight="1" x14ac:dyDescent="0.2">
      <c r="A80" s="7"/>
      <c r="B80" s="11"/>
      <c r="C80" s="11"/>
      <c r="D80" s="11"/>
      <c r="E80" s="11"/>
      <c r="F80" s="11"/>
      <c r="G80" s="11"/>
      <c r="H80" s="10"/>
      <c r="I80" s="10"/>
      <c r="J80" s="10"/>
      <c r="K80" s="10"/>
      <c r="L80" s="10"/>
      <c r="M80" s="10"/>
    </row>
    <row r="81" spans="1:13" ht="15" customHeight="1" x14ac:dyDescent="0.2">
      <c r="A81" s="7"/>
      <c r="B81" s="11"/>
      <c r="C81" s="11"/>
      <c r="D81" s="11"/>
      <c r="E81" s="11"/>
      <c r="F81" s="11"/>
      <c r="G81" s="11"/>
      <c r="H81" s="10"/>
      <c r="I81" s="10"/>
      <c r="J81" s="10"/>
      <c r="K81" s="10"/>
      <c r="L81" s="10"/>
      <c r="M81" s="10"/>
    </row>
    <row r="82" spans="1:13" ht="15" customHeight="1" x14ac:dyDescent="0.2">
      <c r="A82" s="7"/>
      <c r="B82" s="11"/>
      <c r="C82" s="11"/>
      <c r="D82" s="11"/>
      <c r="E82" s="11"/>
      <c r="F82" s="11"/>
      <c r="G82" s="11"/>
      <c r="H82" s="10"/>
      <c r="I82" s="10"/>
      <c r="J82" s="10"/>
      <c r="K82" s="10"/>
      <c r="L82" s="10"/>
      <c r="M82" s="10"/>
    </row>
    <row r="83" spans="1:13" ht="15" customHeight="1" x14ac:dyDescent="0.2">
      <c r="A83" s="7"/>
      <c r="B83" s="11"/>
      <c r="C83" s="11"/>
      <c r="D83" s="11"/>
      <c r="E83" s="11"/>
      <c r="F83" s="11"/>
      <c r="G83" s="11"/>
      <c r="H83" s="10"/>
      <c r="I83" s="10"/>
      <c r="J83" s="10"/>
      <c r="K83" s="10"/>
      <c r="L83" s="10"/>
      <c r="M83" s="10"/>
    </row>
    <row r="84" spans="1:13" ht="15" customHeight="1" x14ac:dyDescent="0.2">
      <c r="A84" s="7"/>
      <c r="B84" s="11"/>
      <c r="C84" s="11"/>
      <c r="D84" s="11"/>
      <c r="E84" s="11"/>
      <c r="F84" s="11"/>
      <c r="G84" s="11"/>
      <c r="H84" s="10"/>
      <c r="I84" s="10"/>
      <c r="J84" s="10"/>
      <c r="K84" s="10"/>
      <c r="L84" s="10"/>
      <c r="M84" s="10"/>
    </row>
    <row r="85" spans="1:13" ht="15" customHeight="1" x14ac:dyDescent="0.2">
      <c r="A85" s="7"/>
      <c r="B85" s="11"/>
      <c r="C85" s="11"/>
      <c r="D85" s="11"/>
      <c r="E85" s="11"/>
      <c r="F85" s="11"/>
      <c r="G85" s="11"/>
      <c r="H85" s="10"/>
      <c r="I85" s="10"/>
      <c r="J85" s="10"/>
      <c r="K85" s="10"/>
      <c r="L85" s="10"/>
      <c r="M85" s="10"/>
    </row>
    <row r="86" spans="1:13" ht="15" customHeight="1" x14ac:dyDescent="0.2">
      <c r="A86" s="7"/>
      <c r="B86" s="11"/>
      <c r="C86" s="11"/>
      <c r="D86" s="11"/>
      <c r="E86" s="11"/>
      <c r="F86" s="11"/>
      <c r="G86" s="11"/>
      <c r="H86" s="10"/>
      <c r="I86" s="10"/>
      <c r="J86" s="10"/>
      <c r="K86" s="10"/>
      <c r="L86" s="10"/>
      <c r="M86" s="10"/>
    </row>
    <row r="87" spans="1:13" ht="15" customHeight="1" x14ac:dyDescent="0.2">
      <c r="A87" s="7" t="s">
        <v>31</v>
      </c>
      <c r="B87" s="11"/>
      <c r="C87" s="11"/>
      <c r="D87" s="11"/>
      <c r="E87" s="11"/>
      <c r="F87" s="11"/>
      <c r="G87" s="11"/>
      <c r="H87" s="10"/>
      <c r="I87" s="10"/>
      <c r="J87" s="10"/>
      <c r="K87" s="10"/>
      <c r="L87" s="10"/>
      <c r="M87" s="10"/>
    </row>
    <row r="88" spans="1:13" ht="15" customHeight="1" x14ac:dyDescent="0.2">
      <c r="A88" s="7" t="s">
        <v>56</v>
      </c>
      <c r="B88" s="11"/>
      <c r="C88" s="11"/>
      <c r="D88" s="11"/>
      <c r="E88" s="11"/>
      <c r="F88" s="11"/>
      <c r="G88" s="11"/>
      <c r="H88" s="10"/>
      <c r="I88" s="10"/>
      <c r="J88" s="10"/>
      <c r="K88" s="10"/>
      <c r="L88" s="10"/>
      <c r="M88" s="10"/>
    </row>
  </sheetData>
  <hyperlinks>
    <hyperlink ref="A87" r:id="rId1" tooltip="حدد للتعرف على نظرة عامة حول تدريب Excel المجاني عبر الإنترنت من الويب"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rightToLeft="1" workbookViewId="0">
      <selection activeCell="D7" sqref="D7"/>
    </sheetView>
  </sheetViews>
  <sheetFormatPr defaultColWidth="8.75" defaultRowHeight="14.25" x14ac:dyDescent="0.2"/>
  <cols>
    <col min="1" max="1" width="12.625" style="100" customWidth="1"/>
    <col min="2" max="2" width="82.75" style="68" customWidth="1"/>
    <col min="3" max="3" width="13.25" style="77" customWidth="1"/>
    <col min="4" max="4" width="13.25" style="68" customWidth="1"/>
    <col min="5" max="5" width="2.25" style="68" customWidth="1"/>
    <col min="6" max="6" width="13.25" style="84" customWidth="1"/>
    <col min="7" max="7" width="13.25" style="68" customWidth="1"/>
    <col min="8" max="16384" width="8.75" style="68"/>
  </cols>
  <sheetData>
    <row r="1" spans="1:10" ht="60" customHeight="1" x14ac:dyDescent="0.2">
      <c r="A1" s="2" t="s">
        <v>84</v>
      </c>
      <c r="B1" s="21"/>
      <c r="C1" s="3"/>
      <c r="D1" s="22"/>
      <c r="E1" s="22"/>
      <c r="F1" s="22"/>
      <c r="G1" s="22"/>
      <c r="H1" s="23"/>
      <c r="I1" s="23"/>
      <c r="J1" s="23"/>
    </row>
    <row r="2" spans="1:10" ht="15" customHeight="1" x14ac:dyDescent="0.2">
      <c r="A2" s="2" t="s">
        <v>299</v>
      </c>
      <c r="B2" s="21"/>
      <c r="C2" s="12" t="s">
        <v>57</v>
      </c>
      <c r="D2" s="13" t="s">
        <v>73</v>
      </c>
      <c r="E2" s="24"/>
      <c r="F2" s="12" t="s">
        <v>76</v>
      </c>
      <c r="G2" s="13" t="s">
        <v>73</v>
      </c>
      <c r="H2" s="23"/>
      <c r="I2" s="23"/>
      <c r="J2" s="25"/>
    </row>
    <row r="3" spans="1:10" ht="15" customHeight="1" x14ac:dyDescent="0.2">
      <c r="A3" s="2" t="s">
        <v>300</v>
      </c>
      <c r="B3" s="21"/>
      <c r="C3" s="26" t="s">
        <v>58</v>
      </c>
      <c r="D3" s="27">
        <v>50</v>
      </c>
      <c r="E3" s="24"/>
      <c r="F3" s="26" t="s">
        <v>77</v>
      </c>
      <c r="G3" s="27">
        <v>50</v>
      </c>
      <c r="H3" s="23"/>
      <c r="I3" s="23"/>
      <c r="J3" s="25"/>
    </row>
    <row r="4" spans="1:10" ht="15" customHeight="1" x14ac:dyDescent="0.2">
      <c r="A4" s="2" t="s">
        <v>301</v>
      </c>
      <c r="B4" s="21"/>
      <c r="C4" s="26" t="s">
        <v>59</v>
      </c>
      <c r="D4" s="27">
        <v>20</v>
      </c>
      <c r="E4" s="24"/>
      <c r="F4" s="26" t="s">
        <v>78</v>
      </c>
      <c r="G4" s="27">
        <v>30</v>
      </c>
      <c r="H4" s="23"/>
      <c r="I4" s="23"/>
      <c r="J4" s="25"/>
    </row>
    <row r="5" spans="1:10" s="84" customFormat="1" ht="15" customHeight="1" x14ac:dyDescent="0.2">
      <c r="A5" s="2" t="s">
        <v>302</v>
      </c>
      <c r="B5" s="21"/>
      <c r="C5" s="26" t="s">
        <v>60</v>
      </c>
      <c r="D5" s="27">
        <v>60</v>
      </c>
      <c r="E5" s="24"/>
      <c r="F5" s="26" t="s">
        <v>79</v>
      </c>
      <c r="G5" s="27">
        <v>10</v>
      </c>
      <c r="H5" s="24"/>
      <c r="I5" s="24"/>
      <c r="J5" s="25"/>
    </row>
    <row r="6" spans="1:10" s="84" customFormat="1" ht="15" customHeight="1" x14ac:dyDescent="0.2">
      <c r="A6" s="2" t="s">
        <v>85</v>
      </c>
      <c r="B6" s="21"/>
      <c r="C6" s="26" t="s">
        <v>61</v>
      </c>
      <c r="D6" s="27">
        <v>40</v>
      </c>
      <c r="E6" s="24"/>
      <c r="F6" s="26" t="s">
        <v>80</v>
      </c>
      <c r="G6" s="27">
        <v>50</v>
      </c>
      <c r="H6" s="24"/>
      <c r="I6" s="24"/>
      <c r="J6" s="25"/>
    </row>
    <row r="7" spans="1:10" s="84" customFormat="1" ht="15" customHeight="1" x14ac:dyDescent="0.2">
      <c r="A7" s="2" t="s">
        <v>86</v>
      </c>
      <c r="B7" s="21"/>
      <c r="C7" s="28" t="s">
        <v>94</v>
      </c>
      <c r="D7" s="29"/>
      <c r="E7" s="24"/>
      <c r="F7" s="28" t="s">
        <v>94</v>
      </c>
      <c r="G7" s="29"/>
      <c r="H7" s="24"/>
      <c r="I7" s="24"/>
      <c r="J7" s="25"/>
    </row>
    <row r="8" spans="1:10" s="84" customFormat="1" ht="15" customHeight="1" x14ac:dyDescent="0.2">
      <c r="A8" s="2" t="s">
        <v>87</v>
      </c>
      <c r="B8" s="21"/>
      <c r="C8" s="21"/>
      <c r="D8" s="24"/>
      <c r="E8" s="24"/>
      <c r="F8" s="21"/>
      <c r="G8" s="24"/>
      <c r="H8" s="24"/>
      <c r="I8" s="24"/>
      <c r="J8" s="25"/>
    </row>
    <row r="9" spans="1:10" s="84" customFormat="1" ht="15" customHeight="1" x14ac:dyDescent="0.2">
      <c r="A9" s="2" t="s">
        <v>88</v>
      </c>
      <c r="B9" s="21"/>
      <c r="C9" s="12" t="s">
        <v>63</v>
      </c>
      <c r="D9" s="13" t="s">
        <v>73</v>
      </c>
      <c r="E9" s="24"/>
      <c r="F9" s="12" t="s">
        <v>63</v>
      </c>
      <c r="G9" s="13" t="s">
        <v>73</v>
      </c>
      <c r="H9" s="24"/>
      <c r="I9" s="24"/>
      <c r="J9" s="25"/>
    </row>
    <row r="10" spans="1:10" s="84" customFormat="1" ht="15" customHeight="1" x14ac:dyDescent="0.2">
      <c r="A10" s="2" t="s">
        <v>89</v>
      </c>
      <c r="B10" s="21"/>
      <c r="C10" s="26" t="s">
        <v>64</v>
      </c>
      <c r="D10" s="27">
        <v>50</v>
      </c>
      <c r="E10" s="24"/>
      <c r="F10" s="26" t="s">
        <v>64</v>
      </c>
      <c r="G10" s="27">
        <v>50</v>
      </c>
      <c r="H10" s="24"/>
      <c r="I10" s="24"/>
      <c r="J10" s="25"/>
    </row>
    <row r="11" spans="1:10" s="84" customFormat="1" ht="15" customHeight="1" x14ac:dyDescent="0.2">
      <c r="A11" s="2" t="s">
        <v>90</v>
      </c>
      <c r="B11" s="21"/>
      <c r="C11" s="26" t="s">
        <v>65</v>
      </c>
      <c r="D11" s="27">
        <v>100</v>
      </c>
      <c r="E11" s="24"/>
      <c r="F11" s="26" t="s">
        <v>65</v>
      </c>
      <c r="G11" s="27">
        <v>100</v>
      </c>
      <c r="H11" s="24"/>
      <c r="I11" s="24"/>
      <c r="J11" s="25"/>
    </row>
    <row r="12" spans="1:10" s="84" customFormat="1" ht="15" customHeight="1" x14ac:dyDescent="0.2">
      <c r="A12" s="2" t="s">
        <v>91</v>
      </c>
      <c r="B12" s="21"/>
      <c r="C12" s="26" t="s">
        <v>66</v>
      </c>
      <c r="D12" s="27">
        <v>40</v>
      </c>
      <c r="E12" s="24"/>
      <c r="F12" s="26" t="s">
        <v>66</v>
      </c>
      <c r="G12" s="27">
        <v>40</v>
      </c>
      <c r="H12" s="24"/>
      <c r="I12" s="24"/>
      <c r="J12" s="25"/>
    </row>
    <row r="13" spans="1:10" s="84" customFormat="1" ht="15" customHeight="1" x14ac:dyDescent="0.2">
      <c r="A13" s="2" t="s">
        <v>92</v>
      </c>
      <c r="B13" s="21"/>
      <c r="C13" s="26" t="s">
        <v>67</v>
      </c>
      <c r="D13" s="27">
        <v>50</v>
      </c>
      <c r="E13" s="24"/>
      <c r="F13" s="26" t="s">
        <v>67</v>
      </c>
      <c r="G13" s="27">
        <v>50</v>
      </c>
      <c r="H13" s="24"/>
      <c r="I13" s="24"/>
      <c r="J13" s="25"/>
    </row>
    <row r="14" spans="1:10" s="84" customFormat="1" ht="15" customHeight="1" thickBot="1" x14ac:dyDescent="0.25">
      <c r="A14" s="2" t="s">
        <v>93</v>
      </c>
      <c r="B14" s="21"/>
      <c r="C14" s="26" t="s">
        <v>68</v>
      </c>
      <c r="D14" s="27">
        <v>20</v>
      </c>
      <c r="E14" s="24"/>
      <c r="F14" s="26" t="s">
        <v>68</v>
      </c>
      <c r="G14" s="27">
        <v>20</v>
      </c>
      <c r="H14" s="24"/>
      <c r="I14" s="24"/>
      <c r="J14" s="24"/>
    </row>
    <row r="15" spans="1:10" s="84" customFormat="1" ht="15" customHeight="1" thickTop="1" thickBot="1" x14ac:dyDescent="0.25">
      <c r="A15" s="2"/>
      <c r="B15" s="21"/>
      <c r="C15" s="28" t="s">
        <v>94</v>
      </c>
      <c r="D15" s="29"/>
      <c r="E15" s="24"/>
      <c r="F15" s="21"/>
      <c r="G15" s="51"/>
      <c r="H15" s="24"/>
      <c r="I15" s="24"/>
      <c r="J15" s="24"/>
    </row>
    <row r="16" spans="1:10" s="84" customFormat="1" ht="15" customHeight="1" thickTop="1" x14ac:dyDescent="0.2">
      <c r="A16" s="2"/>
      <c r="B16" s="21"/>
      <c r="C16" s="21"/>
      <c r="D16" s="21"/>
      <c r="E16" s="21"/>
      <c r="F16" s="21"/>
      <c r="G16" s="21"/>
      <c r="H16" s="24"/>
      <c r="I16" s="24"/>
      <c r="J16" s="24"/>
    </row>
    <row r="17" spans="1:10" s="84" customFormat="1" ht="15" customHeight="1" x14ac:dyDescent="0.2">
      <c r="A17" s="2"/>
      <c r="B17" s="21"/>
      <c r="C17" s="7"/>
      <c r="D17" s="21"/>
      <c r="E17" s="21"/>
      <c r="F17" s="21"/>
      <c r="G17" s="21"/>
      <c r="H17" s="24"/>
      <c r="I17" s="24"/>
      <c r="J17" s="24"/>
    </row>
    <row r="18" spans="1:10" s="84" customFormat="1" ht="15" customHeight="1" x14ac:dyDescent="0.2">
      <c r="A18" s="2"/>
      <c r="B18" s="21"/>
      <c r="C18" s="7"/>
      <c r="D18" s="21"/>
      <c r="E18" s="21"/>
      <c r="F18" s="21"/>
      <c r="G18" s="21"/>
      <c r="H18" s="24"/>
      <c r="I18" s="24"/>
      <c r="J18" s="24"/>
    </row>
    <row r="19" spans="1:10" s="84" customFormat="1" ht="15" customHeight="1" x14ac:dyDescent="0.2">
      <c r="A19" s="2"/>
      <c r="B19" s="21"/>
      <c r="C19" s="7"/>
      <c r="D19" s="21"/>
      <c r="E19" s="21"/>
      <c r="F19" s="21"/>
      <c r="G19" s="21"/>
      <c r="H19" s="24"/>
      <c r="I19" s="24"/>
      <c r="J19" s="24"/>
    </row>
    <row r="20" spans="1:10" s="84" customFormat="1" ht="15" customHeight="1" x14ac:dyDescent="0.2">
      <c r="A20" s="2"/>
      <c r="B20" s="21"/>
      <c r="C20" s="7"/>
      <c r="D20" s="21"/>
      <c r="E20" s="21"/>
      <c r="F20" s="21"/>
      <c r="G20" s="21"/>
      <c r="H20" s="24"/>
      <c r="I20" s="24"/>
      <c r="J20" s="24"/>
    </row>
    <row r="21" spans="1:10" s="84" customFormat="1" ht="15" customHeight="1" x14ac:dyDescent="0.2">
      <c r="A21" s="2"/>
      <c r="B21" s="21"/>
      <c r="C21" s="7"/>
      <c r="D21" s="21"/>
      <c r="E21" s="21"/>
      <c r="F21" s="21"/>
      <c r="G21" s="21"/>
      <c r="H21" s="24"/>
      <c r="I21" s="24"/>
      <c r="J21" s="24"/>
    </row>
    <row r="22" spans="1:10" s="84" customFormat="1" ht="15" customHeight="1" x14ac:dyDescent="0.2">
      <c r="A22" s="2"/>
      <c r="B22" s="21"/>
      <c r="C22" s="7"/>
      <c r="D22" s="21"/>
      <c r="E22" s="21"/>
      <c r="F22" s="21"/>
      <c r="G22" s="21"/>
      <c r="H22" s="24"/>
      <c r="I22" s="24"/>
      <c r="J22" s="24"/>
    </row>
    <row r="23" spans="1:10" s="84" customFormat="1" ht="15" customHeight="1" x14ac:dyDescent="0.2">
      <c r="A23" s="2"/>
      <c r="B23" s="21"/>
      <c r="C23" s="7"/>
      <c r="D23" s="21"/>
      <c r="E23" s="21"/>
      <c r="F23" s="21"/>
      <c r="G23" s="21"/>
      <c r="H23" s="24"/>
      <c r="I23" s="24"/>
      <c r="J23" s="24"/>
    </row>
    <row r="24" spans="1:10" s="84" customFormat="1" ht="15" customHeight="1" x14ac:dyDescent="0.2">
      <c r="A24" s="2"/>
      <c r="B24" s="21"/>
      <c r="C24" s="7"/>
      <c r="D24" s="21"/>
      <c r="E24" s="21"/>
      <c r="F24" s="21"/>
      <c r="G24" s="21"/>
      <c r="H24" s="24"/>
      <c r="I24" s="24"/>
      <c r="J24" s="24"/>
    </row>
    <row r="25" spans="1:10" s="84" customFormat="1" ht="15" customHeight="1" x14ac:dyDescent="0.2">
      <c r="A25" s="2"/>
      <c r="B25" s="21"/>
      <c r="C25" s="7"/>
      <c r="D25" s="21"/>
      <c r="E25" s="21"/>
      <c r="F25" s="21"/>
      <c r="G25" s="21"/>
      <c r="H25" s="24"/>
      <c r="I25" s="24"/>
      <c r="J25" s="24"/>
    </row>
    <row r="26" spans="1:10" s="84" customFormat="1" ht="15" customHeight="1" x14ac:dyDescent="0.2">
      <c r="A26" s="2"/>
      <c r="B26" s="21"/>
      <c r="C26" s="7"/>
      <c r="D26" s="21"/>
      <c r="E26" s="21"/>
      <c r="F26" s="21"/>
      <c r="G26" s="21"/>
      <c r="H26" s="24"/>
      <c r="I26" s="24"/>
      <c r="J26" s="24"/>
    </row>
    <row r="27" spans="1:10" x14ac:dyDescent="0.2">
      <c r="A27" s="2"/>
      <c r="B27" s="21"/>
      <c r="C27" s="7"/>
      <c r="D27" s="21"/>
      <c r="E27" s="21"/>
      <c r="F27" s="21"/>
      <c r="G27" s="21"/>
      <c r="H27" s="23"/>
      <c r="I27" s="23"/>
      <c r="J27" s="23"/>
    </row>
    <row r="28" spans="1:10" x14ac:dyDescent="0.2">
      <c r="A28" s="2"/>
      <c r="B28" s="21"/>
      <c r="C28" s="7"/>
      <c r="D28" s="21"/>
      <c r="E28" s="21"/>
      <c r="F28" s="21"/>
      <c r="G28" s="21"/>
      <c r="H28" s="23"/>
      <c r="I28" s="23"/>
      <c r="J28" s="23"/>
    </row>
    <row r="29" spans="1:10" ht="15" customHeight="1" x14ac:dyDescent="0.2">
      <c r="A29" s="2"/>
      <c r="B29" s="21"/>
      <c r="C29" s="7" t="s">
        <v>95</v>
      </c>
      <c r="D29" s="21"/>
      <c r="E29" s="21"/>
      <c r="F29" s="21"/>
      <c r="G29" s="21"/>
      <c r="H29" s="23"/>
      <c r="I29" s="23"/>
      <c r="J29" s="23"/>
    </row>
    <row r="30" spans="1:10" ht="15" customHeight="1" x14ac:dyDescent="0.2">
      <c r="A30" s="2"/>
      <c r="B30" s="21"/>
      <c r="C30" s="7" t="s">
        <v>96</v>
      </c>
      <c r="D30" s="21"/>
      <c r="E30" s="21"/>
      <c r="F30" s="21"/>
      <c r="G30" s="21"/>
      <c r="H30" s="23"/>
      <c r="I30" s="23"/>
      <c r="J30" s="23"/>
    </row>
    <row r="31" spans="1:10" ht="15" customHeight="1" x14ac:dyDescent="0.2">
      <c r="A31" s="2"/>
      <c r="B31" s="21"/>
      <c r="C31" s="7" t="s">
        <v>97</v>
      </c>
      <c r="D31" s="21"/>
      <c r="E31" s="21"/>
      <c r="F31" s="21"/>
      <c r="G31" s="21"/>
      <c r="H31" s="23"/>
      <c r="I31" s="23"/>
      <c r="J31" s="23"/>
    </row>
    <row r="32" spans="1:10" ht="15" customHeight="1" x14ac:dyDescent="0.2">
      <c r="A32" s="2"/>
      <c r="B32" s="21"/>
      <c r="C32" s="7" t="s">
        <v>98</v>
      </c>
      <c r="D32" s="21"/>
      <c r="E32" s="21"/>
      <c r="F32" s="21"/>
      <c r="G32" s="21"/>
      <c r="H32" s="23"/>
      <c r="I32" s="23"/>
      <c r="J32" s="23"/>
    </row>
    <row r="33" spans="1:10" ht="15" customHeight="1" x14ac:dyDescent="0.2">
      <c r="A33" s="2"/>
      <c r="B33" s="21"/>
      <c r="C33" s="7" t="s">
        <v>99</v>
      </c>
      <c r="D33" s="21"/>
      <c r="E33" s="21"/>
      <c r="F33" s="21"/>
      <c r="G33" s="21"/>
      <c r="H33" s="23"/>
      <c r="I33" s="23"/>
      <c r="J33" s="23"/>
    </row>
    <row r="34" spans="1:10" ht="15" customHeight="1" x14ac:dyDescent="0.2">
      <c r="A34" s="2"/>
      <c r="B34" s="21"/>
      <c r="C34" s="7" t="s">
        <v>100</v>
      </c>
      <c r="D34" s="21"/>
      <c r="E34" s="21"/>
      <c r="F34" s="21"/>
      <c r="G34" s="21"/>
      <c r="H34" s="23"/>
      <c r="I34" s="23"/>
      <c r="J34" s="23"/>
    </row>
    <row r="35" spans="1:10" ht="15" customHeight="1" x14ac:dyDescent="0.2">
      <c r="A35" s="2"/>
      <c r="B35" s="21"/>
      <c r="C35" s="7" t="s">
        <v>101</v>
      </c>
      <c r="D35" s="21"/>
      <c r="E35" s="21"/>
      <c r="F35" s="21"/>
      <c r="G35" s="21"/>
      <c r="H35" s="23"/>
      <c r="I35" s="23"/>
      <c r="J35" s="23"/>
    </row>
    <row r="36" spans="1:10" x14ac:dyDescent="0.2">
      <c r="A36" s="2"/>
      <c r="B36" s="21"/>
      <c r="C36" s="7"/>
      <c r="D36" s="21"/>
      <c r="E36" s="21"/>
      <c r="F36" s="21"/>
      <c r="G36" s="21"/>
      <c r="H36" s="23"/>
      <c r="I36" s="23"/>
      <c r="J36" s="23"/>
    </row>
    <row r="37" spans="1:10" x14ac:dyDescent="0.2">
      <c r="A37" s="2"/>
      <c r="B37" s="21"/>
      <c r="C37" s="7"/>
      <c r="D37" s="21"/>
      <c r="E37" s="21"/>
      <c r="F37" s="21"/>
      <c r="G37" s="21"/>
      <c r="H37" s="23"/>
      <c r="I37" s="23"/>
      <c r="J37" s="23"/>
    </row>
    <row r="38" spans="1:10" x14ac:dyDescent="0.2">
      <c r="A38" s="2"/>
      <c r="B38" s="21"/>
      <c r="C38" s="7"/>
      <c r="D38" s="21"/>
      <c r="E38" s="21"/>
      <c r="F38" s="21"/>
      <c r="G38" s="21"/>
      <c r="H38" s="23"/>
      <c r="I38" s="23"/>
      <c r="J38" s="23"/>
    </row>
    <row r="39" spans="1:10" x14ac:dyDescent="0.2">
      <c r="A39" s="2"/>
      <c r="B39" s="21"/>
      <c r="C39" s="7"/>
      <c r="D39" s="21"/>
      <c r="E39" s="21"/>
      <c r="F39" s="21"/>
      <c r="G39" s="21"/>
      <c r="H39" s="23"/>
      <c r="I39" s="23"/>
      <c r="J39" s="23"/>
    </row>
    <row r="40" spans="1:10" x14ac:dyDescent="0.2">
      <c r="A40" s="2"/>
      <c r="B40" s="21"/>
      <c r="C40" s="7"/>
      <c r="D40" s="21"/>
      <c r="E40" s="21"/>
      <c r="F40" s="21"/>
      <c r="G40" s="21"/>
      <c r="H40" s="23"/>
      <c r="I40" s="23"/>
      <c r="J40" s="23"/>
    </row>
    <row r="41" spans="1:10" ht="15" customHeight="1" x14ac:dyDescent="0.2">
      <c r="A41" s="2"/>
      <c r="B41" s="21"/>
      <c r="C41" s="7" t="s">
        <v>26</v>
      </c>
      <c r="D41" s="21"/>
      <c r="E41" s="21"/>
      <c r="F41" s="21"/>
      <c r="G41" s="21"/>
      <c r="H41" s="23"/>
      <c r="I41" s="23"/>
      <c r="J41" s="23"/>
    </row>
    <row r="42" spans="1:10" ht="15" customHeight="1" x14ac:dyDescent="0.2">
      <c r="A42" s="2"/>
      <c r="B42" s="21"/>
      <c r="C42" s="7" t="s">
        <v>52</v>
      </c>
      <c r="D42" s="21"/>
      <c r="E42" s="21"/>
      <c r="F42" s="21"/>
      <c r="G42" s="21"/>
      <c r="H42" s="23"/>
      <c r="I42" s="23"/>
      <c r="J42" s="23"/>
    </row>
    <row r="43" spans="1:10" ht="15" customHeight="1" x14ac:dyDescent="0.2">
      <c r="A43" s="2"/>
      <c r="B43" s="21"/>
      <c r="C43" s="7" t="s">
        <v>102</v>
      </c>
      <c r="D43" s="21"/>
      <c r="E43" s="21"/>
      <c r="F43" s="21"/>
      <c r="G43" s="21"/>
      <c r="H43" s="23"/>
      <c r="I43" s="23"/>
      <c r="J43" s="23"/>
    </row>
    <row r="44" spans="1:10" ht="15" customHeight="1" x14ac:dyDescent="0.2">
      <c r="A44" s="2"/>
      <c r="B44" s="21"/>
      <c r="C44" s="7" t="s">
        <v>103</v>
      </c>
      <c r="D44" s="21"/>
      <c r="E44" s="21"/>
      <c r="F44" s="21"/>
      <c r="G44" s="21"/>
      <c r="H44" s="23"/>
      <c r="I44" s="23"/>
      <c r="J44" s="23"/>
    </row>
    <row r="45" spans="1:10" ht="15" customHeight="1" x14ac:dyDescent="0.2">
      <c r="A45" s="2"/>
      <c r="B45" s="21"/>
      <c r="C45" s="7" t="s">
        <v>31</v>
      </c>
      <c r="D45" s="21"/>
      <c r="E45" s="21"/>
      <c r="F45" s="21"/>
      <c r="G45" s="21"/>
      <c r="H45" s="23"/>
      <c r="I45" s="23"/>
      <c r="J45" s="23"/>
    </row>
    <row r="46" spans="1:10" ht="15" customHeight="1" x14ac:dyDescent="0.2">
      <c r="A46" s="2"/>
      <c r="B46" s="21"/>
      <c r="C46" s="7" t="s">
        <v>56</v>
      </c>
      <c r="D46" s="21"/>
      <c r="E46" s="21"/>
      <c r="F46" s="21"/>
      <c r="G46" s="21"/>
      <c r="H46" s="23"/>
      <c r="I46" s="23"/>
      <c r="J46" s="23"/>
    </row>
  </sheetData>
  <hyperlinks>
    <hyperlink ref="C42" r:id="rId1" tooltip="حدد للتعرف على جميع المعلومات حول الدالة SUM من الويب" xr:uid="{00000000-0004-0000-0300-000000000000}"/>
    <hyperlink ref="C43" r:id="rId2" tooltip="حدد للتعرف على كافة المعلومات حول الدالة SUMIF من الويب" xr:uid="{00000000-0004-0000-0300-000001000000}"/>
    <hyperlink ref="C44" r:id="rId3" tooltip="حدّد للتعرف على كيفية استخدام Excel كحاسبة من الويب" xr:uid="{00000000-0004-0000-0300-000002000000}"/>
    <hyperlink ref="C45" r:id="rId4" tooltip="حدد للتعرف على نظرة عامة حول تدريب Excel المجاني عبر الإنترنت من الويب" xr:uid="{00000000-0004-0000-0300-000003000000}"/>
  </hyperlinks>
  <pageMargins left="0.7" right="0.7" top="0.75" bottom="0.75" header="0.3" footer="0.3"/>
  <pageSetup paperSize="9"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rightToLeft="1" workbookViewId="0">
      <selection activeCell="D7" sqref="D7"/>
    </sheetView>
  </sheetViews>
  <sheetFormatPr defaultColWidth="8.75" defaultRowHeight="14.25" x14ac:dyDescent="0.2"/>
  <cols>
    <col min="1" max="1" width="12.625" style="101" customWidth="1"/>
    <col min="2" max="2" width="82.75" style="68" customWidth="1"/>
    <col min="3" max="3" width="13.25" style="68" customWidth="1"/>
    <col min="4" max="4" width="13.25" style="84" customWidth="1"/>
    <col min="5" max="5" width="2.25" style="68" customWidth="1"/>
    <col min="6" max="7" width="13.25" style="68" customWidth="1"/>
    <col min="8" max="16384" width="8.75" style="68"/>
  </cols>
  <sheetData>
    <row r="1" spans="1:8" ht="60" customHeight="1" x14ac:dyDescent="0.2">
      <c r="A1" s="30" t="s">
        <v>104</v>
      </c>
      <c r="B1" s="21"/>
      <c r="C1" s="3"/>
      <c r="D1" s="22"/>
      <c r="E1" s="22"/>
      <c r="F1" s="22"/>
      <c r="G1" s="22"/>
      <c r="H1" s="23"/>
    </row>
    <row r="2" spans="1:8" ht="15" customHeight="1" x14ac:dyDescent="0.2">
      <c r="A2" s="31" t="s">
        <v>303</v>
      </c>
      <c r="B2" s="21"/>
      <c r="C2" s="12" t="s">
        <v>57</v>
      </c>
      <c r="D2" s="13" t="s">
        <v>73</v>
      </c>
      <c r="E2" s="24"/>
      <c r="F2" s="12" t="s">
        <v>76</v>
      </c>
      <c r="G2" s="13" t="s">
        <v>73</v>
      </c>
      <c r="H2" s="25"/>
    </row>
    <row r="3" spans="1:8" ht="15" customHeight="1" x14ac:dyDescent="0.2">
      <c r="A3" s="31" t="s">
        <v>304</v>
      </c>
      <c r="B3" s="21"/>
      <c r="C3" s="26" t="s">
        <v>58</v>
      </c>
      <c r="D3" s="27">
        <v>50</v>
      </c>
      <c r="E3" s="24"/>
      <c r="F3" s="26" t="s">
        <v>77</v>
      </c>
      <c r="G3" s="27">
        <v>50</v>
      </c>
      <c r="H3" s="25"/>
    </row>
    <row r="4" spans="1:8" ht="15" customHeight="1" x14ac:dyDescent="0.2">
      <c r="A4" s="32" t="s">
        <v>105</v>
      </c>
      <c r="B4" s="21"/>
      <c r="C4" s="26" t="s">
        <v>59</v>
      </c>
      <c r="D4" s="27">
        <v>20</v>
      </c>
      <c r="E4" s="24"/>
      <c r="F4" s="26" t="s">
        <v>78</v>
      </c>
      <c r="G4" s="27">
        <v>30</v>
      </c>
      <c r="H4" s="25"/>
    </row>
    <row r="5" spans="1:8" s="84" customFormat="1" ht="15" customHeight="1" x14ac:dyDescent="0.2">
      <c r="A5" s="32" t="s">
        <v>106</v>
      </c>
      <c r="B5" s="21"/>
      <c r="C5" s="26" t="s">
        <v>60</v>
      </c>
      <c r="D5" s="27">
        <v>60</v>
      </c>
      <c r="E5" s="24"/>
      <c r="F5" s="26" t="s">
        <v>79</v>
      </c>
      <c r="G5" s="27">
        <v>10</v>
      </c>
      <c r="H5" s="25"/>
    </row>
    <row r="6" spans="1:8" s="84" customFormat="1" ht="15" customHeight="1" x14ac:dyDescent="0.2">
      <c r="A6" s="32" t="s">
        <v>107</v>
      </c>
      <c r="B6" s="21"/>
      <c r="C6" s="26" t="s">
        <v>61</v>
      </c>
      <c r="D6" s="27">
        <v>40</v>
      </c>
      <c r="E6" s="24"/>
      <c r="F6" s="26" t="s">
        <v>80</v>
      </c>
      <c r="G6" s="27">
        <v>50</v>
      </c>
      <c r="H6" s="25"/>
    </row>
    <row r="7" spans="1:8" s="84" customFormat="1" ht="15" customHeight="1" x14ac:dyDescent="0.2">
      <c r="A7" s="33" t="s">
        <v>108</v>
      </c>
      <c r="B7" s="21"/>
      <c r="C7" s="28" t="s">
        <v>112</v>
      </c>
      <c r="D7" s="29"/>
      <c r="E7" s="24"/>
      <c r="F7" s="28" t="s">
        <v>114</v>
      </c>
      <c r="G7" s="29"/>
      <c r="H7" s="25"/>
    </row>
    <row r="8" spans="1:8" s="84" customFormat="1" ht="15" customHeight="1" x14ac:dyDescent="0.2">
      <c r="A8" s="34" t="s">
        <v>109</v>
      </c>
      <c r="B8" s="21"/>
      <c r="C8" s="21"/>
      <c r="D8" s="24"/>
      <c r="E8" s="24"/>
      <c r="F8" s="21"/>
      <c r="G8" s="24"/>
      <c r="H8" s="25"/>
    </row>
    <row r="9" spans="1:8" s="84" customFormat="1" ht="15" customHeight="1" x14ac:dyDescent="0.2">
      <c r="A9" s="34" t="s">
        <v>110</v>
      </c>
      <c r="B9" s="21"/>
      <c r="C9" s="12" t="s">
        <v>63</v>
      </c>
      <c r="D9" s="13" t="s">
        <v>73</v>
      </c>
      <c r="E9" s="24"/>
      <c r="F9" s="12" t="s">
        <v>63</v>
      </c>
      <c r="G9" s="13" t="s">
        <v>73</v>
      </c>
      <c r="H9" s="25"/>
    </row>
    <row r="10" spans="1:8" s="84" customFormat="1" ht="15" customHeight="1" x14ac:dyDescent="0.2">
      <c r="A10" s="31" t="s">
        <v>31</v>
      </c>
      <c r="B10" s="21"/>
      <c r="C10" s="26" t="s">
        <v>64</v>
      </c>
      <c r="D10" s="27">
        <v>50</v>
      </c>
      <c r="E10" s="24"/>
      <c r="F10" s="26" t="s">
        <v>64</v>
      </c>
      <c r="G10" s="27">
        <v>50</v>
      </c>
      <c r="H10" s="25"/>
    </row>
    <row r="11" spans="1:8" s="84" customFormat="1" ht="15" customHeight="1" x14ac:dyDescent="0.2">
      <c r="A11" s="33" t="s">
        <v>111</v>
      </c>
      <c r="B11" s="21"/>
      <c r="C11" s="26" t="s">
        <v>65</v>
      </c>
      <c r="D11" s="27">
        <v>100</v>
      </c>
      <c r="E11" s="24"/>
      <c r="F11" s="26" t="s">
        <v>65</v>
      </c>
      <c r="G11" s="27">
        <v>100</v>
      </c>
      <c r="H11" s="25"/>
    </row>
    <row r="12" spans="1:8" s="84" customFormat="1" ht="15" customHeight="1" x14ac:dyDescent="0.2">
      <c r="A12" s="34"/>
      <c r="B12" s="21"/>
      <c r="C12" s="26" t="s">
        <v>66</v>
      </c>
      <c r="D12" s="27">
        <v>40</v>
      </c>
      <c r="E12" s="24"/>
      <c r="F12" s="26" t="s">
        <v>66</v>
      </c>
      <c r="G12" s="27">
        <v>40</v>
      </c>
      <c r="H12" s="25"/>
    </row>
    <row r="13" spans="1:8" s="84" customFormat="1" ht="15" customHeight="1" x14ac:dyDescent="0.2">
      <c r="A13" s="34"/>
      <c r="B13" s="21"/>
      <c r="C13" s="26" t="s">
        <v>67</v>
      </c>
      <c r="D13" s="27">
        <v>50</v>
      </c>
      <c r="E13" s="24"/>
      <c r="F13" s="26" t="s">
        <v>67</v>
      </c>
      <c r="G13" s="27">
        <v>50</v>
      </c>
      <c r="H13" s="25"/>
    </row>
    <row r="14" spans="1:8" s="84" customFormat="1" ht="15" customHeight="1" x14ac:dyDescent="0.2">
      <c r="A14" s="34"/>
      <c r="B14" s="21"/>
      <c r="C14" s="26" t="s">
        <v>68</v>
      </c>
      <c r="D14" s="27">
        <v>20</v>
      </c>
      <c r="E14" s="24"/>
      <c r="F14" s="26" t="s">
        <v>68</v>
      </c>
      <c r="G14" s="27">
        <v>20</v>
      </c>
      <c r="H14" s="24"/>
    </row>
    <row r="15" spans="1:8" s="84" customFormat="1" ht="15" customHeight="1" x14ac:dyDescent="0.2">
      <c r="A15" s="30"/>
      <c r="B15" s="21"/>
      <c r="C15" s="28" t="s">
        <v>113</v>
      </c>
      <c r="D15" s="29"/>
      <c r="E15" s="24"/>
      <c r="F15" s="28"/>
      <c r="G15" s="29">
        <f>MIN(G10:G14,10)</f>
        <v>10</v>
      </c>
      <c r="H15" s="24"/>
    </row>
    <row r="16" spans="1:8" s="84" customFormat="1" ht="15" customHeight="1" x14ac:dyDescent="0.2">
      <c r="A16" s="30"/>
      <c r="B16" s="21"/>
      <c r="C16" s="21"/>
      <c r="D16" s="21"/>
      <c r="E16" s="21"/>
      <c r="F16" s="21"/>
      <c r="G16" s="21"/>
      <c r="H16" s="24"/>
    </row>
    <row r="17" spans="1:8" s="84" customFormat="1" ht="15" customHeight="1" x14ac:dyDescent="0.2">
      <c r="A17" s="30"/>
      <c r="B17" s="21"/>
      <c r="C17" s="21"/>
      <c r="D17" s="21"/>
      <c r="E17" s="21"/>
      <c r="F17" s="21"/>
      <c r="G17" s="21"/>
      <c r="H17" s="24"/>
    </row>
    <row r="18" spans="1:8" s="84" customFormat="1" ht="15" customHeight="1" x14ac:dyDescent="0.2">
      <c r="A18" s="35"/>
      <c r="B18" s="21"/>
      <c r="C18" s="21"/>
      <c r="D18" s="21"/>
      <c r="E18" s="21"/>
      <c r="F18" s="21"/>
      <c r="G18" s="21"/>
      <c r="H18" s="24"/>
    </row>
    <row r="19" spans="1:8" s="84" customFormat="1" ht="15" customHeight="1" x14ac:dyDescent="0.2">
      <c r="A19" s="31" t="s">
        <v>305</v>
      </c>
      <c r="B19" s="21"/>
      <c r="C19" s="21"/>
      <c r="D19" s="21"/>
      <c r="E19" s="21"/>
      <c r="F19" s="21"/>
      <c r="G19" s="21"/>
      <c r="H19" s="24"/>
    </row>
    <row r="20" spans="1:8" s="84" customFormat="1" ht="15" customHeight="1" x14ac:dyDescent="0.2">
      <c r="A20" s="36"/>
      <c r="B20" s="24"/>
      <c r="C20" s="24"/>
      <c r="D20" s="24"/>
      <c r="E20" s="24"/>
      <c r="F20" s="24"/>
      <c r="G20" s="24"/>
      <c r="H20" s="24"/>
    </row>
    <row r="21" spans="1:8" s="84" customFormat="1" ht="15" customHeight="1" x14ac:dyDescent="0.2">
      <c r="A21" s="37"/>
      <c r="B21" s="24"/>
      <c r="C21" s="24"/>
      <c r="D21" s="24"/>
      <c r="E21" s="24"/>
      <c r="F21" s="24"/>
      <c r="G21" s="24"/>
      <c r="H21" s="24"/>
    </row>
    <row r="22" spans="1:8" s="84" customFormat="1" ht="15" customHeight="1" x14ac:dyDescent="0.2">
      <c r="A22" s="37"/>
      <c r="B22" s="24"/>
      <c r="C22" s="24"/>
      <c r="D22" s="24"/>
      <c r="E22" s="24"/>
      <c r="F22" s="24"/>
      <c r="G22" s="24"/>
      <c r="H22" s="24"/>
    </row>
    <row r="23" spans="1:8" s="84" customFormat="1" ht="15" customHeight="1" x14ac:dyDescent="0.2">
      <c r="A23" s="37"/>
      <c r="B23" s="24"/>
      <c r="C23" s="24"/>
      <c r="D23" s="24"/>
      <c r="E23" s="24"/>
      <c r="F23" s="24"/>
      <c r="G23" s="24"/>
      <c r="H23" s="24"/>
    </row>
    <row r="24" spans="1:8" s="84" customFormat="1" ht="15" customHeight="1" x14ac:dyDescent="0.2">
      <c r="A24" s="37"/>
      <c r="B24" s="24"/>
      <c r="C24" s="24"/>
      <c r="D24" s="24"/>
      <c r="E24" s="24"/>
      <c r="F24" s="24"/>
      <c r="G24" s="24"/>
      <c r="H24" s="24"/>
    </row>
    <row r="25" spans="1:8" s="84" customFormat="1" ht="15" customHeight="1" x14ac:dyDescent="0.2">
      <c r="A25" s="37"/>
      <c r="B25" s="24"/>
      <c r="C25" s="24"/>
      <c r="D25" s="24"/>
      <c r="E25" s="24"/>
      <c r="F25" s="24"/>
      <c r="G25" s="24"/>
      <c r="H25" s="24"/>
    </row>
    <row r="26" spans="1:8" x14ac:dyDescent="0.2">
      <c r="A26" s="36"/>
      <c r="B26" s="23"/>
      <c r="C26" s="23"/>
      <c r="D26" s="24"/>
      <c r="E26" s="23"/>
      <c r="F26" s="23"/>
      <c r="G26" s="23"/>
      <c r="H26" s="23"/>
    </row>
    <row r="27" spans="1:8" ht="15" customHeight="1" x14ac:dyDescent="0.2">
      <c r="A27" s="36"/>
      <c r="B27" s="23"/>
      <c r="C27" s="23"/>
      <c r="D27" s="24"/>
      <c r="E27" s="23"/>
      <c r="F27" s="23"/>
      <c r="G27" s="23"/>
      <c r="H27" s="23"/>
    </row>
    <row r="28" spans="1:8" ht="15" customHeight="1" x14ac:dyDescent="0.2">
      <c r="A28" s="36"/>
      <c r="B28" s="23"/>
      <c r="C28" s="23"/>
      <c r="D28" s="24"/>
      <c r="E28" s="23"/>
      <c r="F28" s="23"/>
      <c r="G28" s="23"/>
      <c r="H28" s="23"/>
    </row>
    <row r="29" spans="1:8" ht="15" customHeight="1" x14ac:dyDescent="0.2">
      <c r="A29" s="36"/>
      <c r="B29" s="23"/>
      <c r="C29" s="23"/>
      <c r="D29" s="24"/>
      <c r="E29" s="23"/>
      <c r="F29" s="23"/>
      <c r="G29" s="23"/>
      <c r="H29" s="23"/>
    </row>
    <row r="30" spans="1:8" ht="15" customHeight="1" x14ac:dyDescent="0.2">
      <c r="A30" s="36"/>
      <c r="B30" s="23"/>
      <c r="C30" s="23"/>
      <c r="D30" s="24"/>
      <c r="E30" s="23"/>
      <c r="F30" s="23"/>
      <c r="G30" s="23"/>
      <c r="H30" s="23"/>
    </row>
    <row r="31" spans="1:8" ht="15" customHeight="1" x14ac:dyDescent="0.2">
      <c r="A31" s="36"/>
      <c r="B31" s="23"/>
      <c r="C31" s="23"/>
      <c r="D31" s="24"/>
      <c r="E31" s="23"/>
      <c r="F31" s="23"/>
      <c r="G31" s="23"/>
      <c r="H31" s="23"/>
    </row>
    <row r="32" spans="1:8" ht="15" customHeight="1" x14ac:dyDescent="0.2">
      <c r="A32" s="36"/>
      <c r="B32" s="23"/>
      <c r="C32" s="23"/>
      <c r="D32" s="24"/>
      <c r="E32" s="23"/>
      <c r="F32" s="23"/>
      <c r="G32" s="23"/>
      <c r="H32" s="23"/>
    </row>
    <row r="33" spans="1:8" ht="15" customHeight="1" x14ac:dyDescent="0.2">
      <c r="A33" s="36"/>
      <c r="B33" s="23"/>
      <c r="C33" s="23"/>
      <c r="D33" s="24"/>
      <c r="E33" s="23"/>
      <c r="F33" s="23"/>
      <c r="G33" s="23"/>
      <c r="H33" s="23"/>
    </row>
    <row r="34" spans="1:8" x14ac:dyDescent="0.2">
      <c r="A34" s="36"/>
      <c r="B34" s="23"/>
      <c r="C34" s="23"/>
      <c r="D34" s="24"/>
      <c r="E34" s="23"/>
      <c r="F34" s="23"/>
      <c r="G34" s="23"/>
      <c r="H34" s="23"/>
    </row>
    <row r="35" spans="1:8" x14ac:dyDescent="0.2">
      <c r="A35" s="36"/>
      <c r="B35" s="23"/>
      <c r="C35" s="23"/>
      <c r="D35" s="24"/>
      <c r="E35" s="23"/>
      <c r="F35" s="23"/>
      <c r="G35" s="23"/>
      <c r="H35" s="23"/>
    </row>
    <row r="36" spans="1:8" x14ac:dyDescent="0.2">
      <c r="A36" s="36"/>
      <c r="B36" s="23"/>
      <c r="C36" s="23"/>
      <c r="D36" s="24"/>
      <c r="E36" s="23"/>
      <c r="F36" s="23"/>
      <c r="G36" s="23"/>
      <c r="H36" s="23"/>
    </row>
    <row r="37" spans="1:8" x14ac:dyDescent="0.2">
      <c r="A37" s="36"/>
      <c r="B37" s="23"/>
      <c r="C37" s="23"/>
      <c r="D37" s="24"/>
      <c r="E37" s="23"/>
      <c r="F37" s="23"/>
      <c r="G37" s="23"/>
      <c r="H37" s="23"/>
    </row>
    <row r="38" spans="1:8" x14ac:dyDescent="0.2">
      <c r="A38" s="36"/>
      <c r="B38" s="23"/>
      <c r="C38" s="23"/>
      <c r="D38" s="24"/>
      <c r="E38" s="23"/>
      <c r="F38" s="23"/>
      <c r="G38" s="23"/>
      <c r="H38" s="23"/>
    </row>
    <row r="39" spans="1:8" ht="15" customHeight="1" x14ac:dyDescent="0.2">
      <c r="A39" s="36"/>
      <c r="B39" s="23"/>
      <c r="C39" s="23"/>
      <c r="D39" s="24"/>
      <c r="E39" s="23"/>
      <c r="F39" s="23"/>
      <c r="G39" s="23"/>
      <c r="H39" s="23"/>
    </row>
    <row r="40" spans="1:8" ht="15" customHeight="1" x14ac:dyDescent="0.2">
      <c r="A40" s="36"/>
      <c r="B40" s="23"/>
      <c r="C40" s="23"/>
      <c r="D40" s="24"/>
      <c r="E40" s="23"/>
      <c r="F40" s="23"/>
      <c r="G40" s="23"/>
      <c r="H40" s="23"/>
    </row>
    <row r="41" spans="1:8" ht="15" customHeight="1" x14ac:dyDescent="0.2">
      <c r="A41" s="36"/>
      <c r="B41" s="23"/>
      <c r="C41" s="23"/>
      <c r="D41" s="24"/>
      <c r="E41" s="23"/>
      <c r="F41" s="23"/>
      <c r="G41" s="23"/>
      <c r="H41" s="23"/>
    </row>
    <row r="42" spans="1:8" ht="15" customHeight="1" x14ac:dyDescent="0.2">
      <c r="A42" s="36"/>
      <c r="B42" s="23"/>
      <c r="C42" s="23"/>
      <c r="D42" s="24"/>
      <c r="E42" s="23"/>
      <c r="F42" s="23"/>
      <c r="G42" s="23"/>
      <c r="H42" s="23"/>
    </row>
    <row r="43" spans="1:8" ht="15" customHeight="1" x14ac:dyDescent="0.2">
      <c r="A43" s="36"/>
      <c r="B43" s="23"/>
      <c r="C43" s="23"/>
      <c r="D43" s="24"/>
      <c r="E43" s="23"/>
      <c r="F43" s="23"/>
      <c r="G43" s="23"/>
      <c r="H43" s="23"/>
    </row>
    <row r="44" spans="1:8" ht="15" customHeight="1" x14ac:dyDescent="0.2">
      <c r="A44" s="36"/>
      <c r="B44" s="23"/>
      <c r="C44" s="23"/>
      <c r="D44" s="24"/>
      <c r="E44" s="23"/>
      <c r="F44" s="23"/>
      <c r="G44" s="23"/>
      <c r="H44" s="23"/>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rightToLeft="1" workbookViewId="0">
      <selection activeCell="D6" sqref="D6"/>
    </sheetView>
  </sheetViews>
  <sheetFormatPr defaultRowHeight="14.25" x14ac:dyDescent="0.2"/>
  <cols>
    <col min="1" max="1" width="12.625" style="80" customWidth="1"/>
    <col min="2" max="2" width="82.75" style="80" customWidth="1"/>
    <col min="3" max="3" width="22.875" style="80" customWidth="1"/>
    <col min="4" max="4" width="15.125" style="80" customWidth="1"/>
    <col min="5" max="16384" width="9" style="80"/>
  </cols>
  <sheetData>
    <row r="1" spans="1:6" ht="60" customHeight="1" x14ac:dyDescent="0.2">
      <c r="A1" s="2" t="s">
        <v>115</v>
      </c>
      <c r="B1" s="78"/>
      <c r="C1" s="78"/>
      <c r="D1" s="78"/>
      <c r="E1" s="78"/>
      <c r="F1" s="78"/>
    </row>
    <row r="2" spans="1:6" x14ac:dyDescent="0.2">
      <c r="A2" s="2" t="s">
        <v>116</v>
      </c>
      <c r="B2" s="78"/>
      <c r="C2" s="78"/>
      <c r="D2" s="78"/>
      <c r="E2" s="78"/>
      <c r="F2" s="78"/>
    </row>
    <row r="3" spans="1:6" ht="27" x14ac:dyDescent="0.2">
      <c r="A3" s="2" t="s">
        <v>117</v>
      </c>
      <c r="B3" s="78"/>
      <c r="C3" s="3"/>
      <c r="D3" s="83"/>
      <c r="E3" s="78"/>
      <c r="F3" s="78"/>
    </row>
    <row r="4" spans="1:6" x14ac:dyDescent="0.2">
      <c r="A4" s="2" t="s">
        <v>118</v>
      </c>
      <c r="B4" s="78"/>
      <c r="C4" s="78"/>
      <c r="D4" s="78"/>
      <c r="E4" s="78"/>
      <c r="F4" s="78"/>
    </row>
    <row r="5" spans="1:6" x14ac:dyDescent="0.2">
      <c r="A5" s="2" t="s">
        <v>119</v>
      </c>
      <c r="B5" s="78"/>
      <c r="C5" s="122" t="s">
        <v>115</v>
      </c>
      <c r="D5" s="122"/>
      <c r="E5" s="78"/>
      <c r="F5" s="78"/>
    </row>
    <row r="6" spans="1:6" ht="16.5" customHeight="1" x14ac:dyDescent="0.2">
      <c r="A6" s="2" t="s">
        <v>120</v>
      </c>
      <c r="B6" s="78"/>
      <c r="C6" s="26" t="s">
        <v>129</v>
      </c>
      <c r="D6" s="38"/>
      <c r="E6" s="78"/>
      <c r="F6" s="39" t="str">
        <f ca="1">IF(D6=TODAY(),"لك هذا!","")</f>
        <v/>
      </c>
    </row>
    <row r="7" spans="1:6" ht="16.5" customHeight="1" thickBot="1" x14ac:dyDescent="0.25">
      <c r="A7" s="4" t="s">
        <v>308</v>
      </c>
      <c r="B7" s="78"/>
      <c r="C7" s="26" t="s">
        <v>130</v>
      </c>
      <c r="D7" s="38"/>
      <c r="E7" s="78"/>
      <c r="F7" s="78"/>
    </row>
    <row r="8" spans="1:6" ht="16.5" customHeight="1" thickTop="1" thickBot="1" x14ac:dyDescent="0.25">
      <c r="A8" s="2" t="s">
        <v>121</v>
      </c>
      <c r="B8" s="78"/>
      <c r="C8" s="26" t="s">
        <v>131</v>
      </c>
      <c r="D8" s="116">
        <f>D7-D6</f>
        <v>0</v>
      </c>
      <c r="E8" s="78"/>
      <c r="F8" s="78"/>
    </row>
    <row r="9" spans="1:6" ht="15" thickTop="1" x14ac:dyDescent="0.2">
      <c r="A9" s="2" t="s">
        <v>122</v>
      </c>
      <c r="B9" s="78"/>
      <c r="C9" s="78"/>
      <c r="D9" s="78"/>
      <c r="E9" s="78"/>
      <c r="F9" s="78"/>
    </row>
    <row r="10" spans="1:6" ht="15" customHeight="1" thickBot="1" x14ac:dyDescent="0.25">
      <c r="A10" s="4" t="s">
        <v>123</v>
      </c>
      <c r="B10" s="78"/>
      <c r="C10" s="26" t="s">
        <v>132</v>
      </c>
      <c r="D10" s="117"/>
      <c r="E10" s="78"/>
      <c r="F10" s="78"/>
    </row>
    <row r="11" spans="1:6" ht="15" customHeight="1" thickTop="1" thickBot="1" x14ac:dyDescent="0.25">
      <c r="A11" s="4" t="s">
        <v>124</v>
      </c>
      <c r="B11" s="78"/>
      <c r="C11" s="26" t="s">
        <v>133</v>
      </c>
      <c r="D11" s="118">
        <f>D6+D10</f>
        <v>0</v>
      </c>
      <c r="E11" s="78"/>
      <c r="F11" s="78"/>
    </row>
    <row r="12" spans="1:6" ht="15" thickTop="1" x14ac:dyDescent="0.2">
      <c r="A12" s="2" t="s">
        <v>125</v>
      </c>
      <c r="B12" s="78"/>
      <c r="C12" s="78"/>
      <c r="D12" s="78"/>
      <c r="E12" s="78"/>
      <c r="F12" s="78"/>
    </row>
    <row r="13" spans="1:6" x14ac:dyDescent="0.2">
      <c r="A13" s="2" t="s">
        <v>24</v>
      </c>
      <c r="B13" s="78"/>
      <c r="C13" s="78"/>
      <c r="D13" s="78"/>
      <c r="E13" s="78"/>
      <c r="F13" s="78"/>
    </row>
    <row r="14" spans="1:6" x14ac:dyDescent="0.2">
      <c r="A14" s="2" t="s">
        <v>25</v>
      </c>
      <c r="B14" s="78"/>
      <c r="C14" s="78"/>
      <c r="D14" s="78"/>
      <c r="E14" s="78"/>
      <c r="F14" s="78"/>
    </row>
    <row r="15" spans="1:6" x14ac:dyDescent="0.2">
      <c r="A15" s="2" t="s">
        <v>26</v>
      </c>
      <c r="B15" s="78"/>
      <c r="C15" s="78"/>
      <c r="D15" s="78"/>
      <c r="E15" s="78"/>
      <c r="F15" s="78"/>
    </row>
    <row r="16" spans="1:6" x14ac:dyDescent="0.2">
      <c r="A16" s="2" t="s">
        <v>126</v>
      </c>
      <c r="B16" s="78"/>
      <c r="C16" s="78"/>
      <c r="D16" s="78"/>
      <c r="E16" s="78"/>
      <c r="F16" s="78"/>
    </row>
    <row r="17" spans="1:6" x14ac:dyDescent="0.2">
      <c r="A17" s="2" t="s">
        <v>127</v>
      </c>
      <c r="B17" s="78"/>
      <c r="C17" s="78"/>
      <c r="D17" s="78"/>
      <c r="E17" s="78"/>
      <c r="F17" s="78"/>
    </row>
    <row r="18" spans="1:6" x14ac:dyDescent="0.2">
      <c r="A18" s="2" t="s">
        <v>128</v>
      </c>
      <c r="B18" s="78"/>
      <c r="C18" s="78"/>
      <c r="D18" s="78"/>
      <c r="E18" s="78"/>
      <c r="F18" s="78"/>
    </row>
    <row r="19" spans="1:6" x14ac:dyDescent="0.2">
      <c r="A19" s="2" t="s">
        <v>31</v>
      </c>
      <c r="B19" s="78"/>
      <c r="C19" s="78"/>
      <c r="D19" s="78"/>
      <c r="E19" s="78"/>
      <c r="F19" s="78"/>
    </row>
    <row r="20" spans="1:6" x14ac:dyDescent="0.2">
      <c r="A20" s="78"/>
      <c r="B20" s="78"/>
      <c r="C20" s="78"/>
      <c r="D20" s="78"/>
      <c r="E20" s="78"/>
      <c r="F20" s="78"/>
    </row>
    <row r="21" spans="1:6" x14ac:dyDescent="0.2">
      <c r="A21" s="78"/>
      <c r="B21" s="78"/>
      <c r="C21" s="78"/>
      <c r="D21" s="78"/>
      <c r="E21" s="78"/>
      <c r="F21" s="78"/>
    </row>
    <row r="22" spans="1:6" x14ac:dyDescent="0.2">
      <c r="A22" s="78"/>
      <c r="B22" s="78"/>
      <c r="C22" s="78"/>
      <c r="D22" s="78"/>
      <c r="E22" s="78"/>
      <c r="F22" s="78"/>
    </row>
    <row r="23" spans="1:6" x14ac:dyDescent="0.2">
      <c r="A23" s="78"/>
      <c r="B23" s="78"/>
      <c r="C23" s="78"/>
      <c r="D23" s="78"/>
      <c r="E23" s="78"/>
      <c r="F23" s="78"/>
    </row>
    <row r="24" spans="1:6" x14ac:dyDescent="0.2">
      <c r="A24" s="78"/>
      <c r="B24" s="78"/>
      <c r="C24" s="78"/>
      <c r="D24" s="78"/>
      <c r="E24" s="78"/>
      <c r="F24" s="78"/>
    </row>
    <row r="25" spans="1:6" ht="15" customHeight="1" x14ac:dyDescent="0.2">
      <c r="A25" s="78"/>
      <c r="B25" s="78"/>
      <c r="C25" s="3"/>
      <c r="D25" s="83"/>
      <c r="E25" s="78"/>
      <c r="F25" s="78"/>
    </row>
    <row r="26" spans="1:6" x14ac:dyDescent="0.2">
      <c r="A26" s="78"/>
      <c r="B26" s="78"/>
      <c r="C26" s="78"/>
      <c r="D26" s="78"/>
      <c r="E26" s="78"/>
      <c r="F26" s="78"/>
    </row>
    <row r="27" spans="1:6" x14ac:dyDescent="0.2">
      <c r="A27" s="78"/>
      <c r="B27" s="78"/>
      <c r="C27" s="122" t="s">
        <v>121</v>
      </c>
      <c r="D27" s="122"/>
      <c r="E27" s="78"/>
      <c r="F27" s="78"/>
    </row>
    <row r="28" spans="1:6" x14ac:dyDescent="0.2">
      <c r="A28" s="78"/>
      <c r="B28" s="78"/>
      <c r="C28" s="26" t="s">
        <v>134</v>
      </c>
      <c r="D28" s="40"/>
      <c r="E28" s="78"/>
      <c r="F28" s="78"/>
    </row>
    <row r="29" spans="1:6" x14ac:dyDescent="0.2">
      <c r="A29" s="78"/>
      <c r="B29" s="78"/>
      <c r="C29" s="78"/>
      <c r="D29" s="78"/>
      <c r="E29" s="78"/>
      <c r="F29" s="78"/>
    </row>
    <row r="30" spans="1:6" x14ac:dyDescent="0.2">
      <c r="A30" s="78"/>
      <c r="B30" s="78"/>
      <c r="C30" s="78"/>
      <c r="D30" s="78"/>
      <c r="E30" s="78"/>
      <c r="F30" s="78"/>
    </row>
    <row r="31" spans="1:6" x14ac:dyDescent="0.2">
      <c r="A31" s="78"/>
      <c r="B31" s="78"/>
      <c r="C31" s="122" t="s">
        <v>135</v>
      </c>
      <c r="D31" s="122"/>
      <c r="E31" s="78"/>
      <c r="F31" s="78"/>
    </row>
    <row r="32" spans="1:6" x14ac:dyDescent="0.2">
      <c r="A32" s="78"/>
      <c r="B32" s="78"/>
      <c r="C32" s="26" t="s">
        <v>136</v>
      </c>
      <c r="D32" s="40">
        <v>0.33333333333333331</v>
      </c>
      <c r="E32" s="78"/>
      <c r="F32" s="78"/>
    </row>
    <row r="33" spans="1:6" x14ac:dyDescent="0.2">
      <c r="A33" s="78"/>
      <c r="B33" s="78"/>
      <c r="C33" s="26" t="s">
        <v>137</v>
      </c>
      <c r="D33" s="40">
        <v>0.5</v>
      </c>
      <c r="E33" s="78"/>
      <c r="F33" s="78"/>
    </row>
    <row r="34" spans="1:6" x14ac:dyDescent="0.2">
      <c r="A34" s="78"/>
      <c r="B34" s="78"/>
      <c r="C34" s="26" t="s">
        <v>138</v>
      </c>
      <c r="D34" s="40">
        <v>0.54166666666666663</v>
      </c>
      <c r="E34" s="78"/>
      <c r="F34" s="78"/>
    </row>
    <row r="35" spans="1:6" ht="15" thickBot="1" x14ac:dyDescent="0.25">
      <c r="A35" s="78"/>
      <c r="B35" s="78"/>
      <c r="C35" s="26" t="s">
        <v>139</v>
      </c>
      <c r="D35" s="40">
        <v>0.70833333333333337</v>
      </c>
      <c r="E35" s="78"/>
      <c r="F35" s="78"/>
    </row>
    <row r="36" spans="1:6" ht="15.75" thickTop="1" thickBot="1" x14ac:dyDescent="0.25">
      <c r="A36" s="78"/>
      <c r="B36" s="78"/>
      <c r="C36" s="26" t="s">
        <v>140</v>
      </c>
      <c r="D36" s="116">
        <f>((D35-D32)-(D34-D33))*24</f>
        <v>8.0000000000000018</v>
      </c>
      <c r="E36" s="78"/>
      <c r="F36" s="78"/>
    </row>
    <row r="37" spans="1:6" ht="15" thickTop="1" x14ac:dyDescent="0.2">
      <c r="A37" s="78"/>
      <c r="B37" s="78"/>
      <c r="C37" s="78"/>
      <c r="D37" s="78"/>
      <c r="E37" s="78"/>
      <c r="F37" s="78"/>
    </row>
    <row r="38" spans="1:6" x14ac:dyDescent="0.2">
      <c r="A38" s="78"/>
      <c r="B38" s="78"/>
      <c r="C38" s="78"/>
      <c r="D38" s="78"/>
      <c r="E38" s="78"/>
      <c r="F38" s="78"/>
    </row>
    <row r="39" spans="1:6" x14ac:dyDescent="0.2">
      <c r="A39" s="78"/>
      <c r="B39" s="78"/>
      <c r="C39" s="78"/>
      <c r="D39" s="78"/>
      <c r="E39" s="78"/>
      <c r="F39" s="78"/>
    </row>
    <row r="40" spans="1:6" x14ac:dyDescent="0.2">
      <c r="A40" s="78"/>
      <c r="B40" s="78"/>
      <c r="C40" s="78"/>
      <c r="D40" s="78"/>
      <c r="E40" s="78"/>
      <c r="F40" s="78"/>
    </row>
    <row r="41" spans="1:6" x14ac:dyDescent="0.2">
      <c r="A41" s="78"/>
      <c r="B41" s="78"/>
      <c r="C41" s="78"/>
      <c r="D41" s="78"/>
      <c r="E41" s="78"/>
      <c r="F41" s="78"/>
    </row>
    <row r="42" spans="1:6" x14ac:dyDescent="0.2">
      <c r="A42" s="78"/>
      <c r="B42" s="78"/>
      <c r="C42" s="78"/>
      <c r="D42" s="78"/>
      <c r="E42" s="78"/>
      <c r="F42" s="78"/>
    </row>
    <row r="43" spans="1:6" x14ac:dyDescent="0.2">
      <c r="A43" s="78"/>
      <c r="B43" s="78"/>
      <c r="C43" s="78"/>
      <c r="D43" s="78"/>
      <c r="E43" s="78"/>
      <c r="F43" s="78"/>
    </row>
    <row r="44" spans="1:6" x14ac:dyDescent="0.2">
      <c r="A44" s="78"/>
      <c r="B44" s="78"/>
      <c r="C44" s="78"/>
      <c r="D44" s="78"/>
      <c r="E44" s="78"/>
      <c r="F44" s="78"/>
    </row>
    <row r="45" spans="1:6" x14ac:dyDescent="0.2">
      <c r="A45" s="78"/>
      <c r="B45" s="78"/>
      <c r="C45" s="123" t="s">
        <v>141</v>
      </c>
      <c r="D45" s="123"/>
      <c r="E45" s="78"/>
      <c r="F45" s="78"/>
    </row>
    <row r="46" spans="1:6" x14ac:dyDescent="0.2">
      <c r="A46" s="78"/>
      <c r="B46" s="78"/>
      <c r="C46" s="26" t="s">
        <v>142</v>
      </c>
      <c r="D46" s="119">
        <v>43005</v>
      </c>
      <c r="E46" s="78"/>
      <c r="F46" s="78"/>
    </row>
    <row r="47" spans="1:6" x14ac:dyDescent="0.2">
      <c r="A47" s="78"/>
      <c r="B47" s="78"/>
      <c r="C47" s="26" t="s">
        <v>143</v>
      </c>
      <c r="D47" s="120">
        <v>0.36944444444444446</v>
      </c>
      <c r="E47" s="78"/>
      <c r="F47" s="78"/>
    </row>
  </sheetData>
  <mergeCells count="4">
    <mergeCell ref="C27:D27"/>
    <mergeCell ref="C31:D31"/>
    <mergeCell ref="C45:D45"/>
    <mergeCell ref="C5:D5"/>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rightToLeft="1" zoomScaleNormal="100" workbookViewId="0">
      <selection activeCell="E3" sqref="E3"/>
    </sheetView>
  </sheetViews>
  <sheetFormatPr defaultRowHeight="14.25" x14ac:dyDescent="0.2"/>
  <cols>
    <col min="1" max="1" width="12.625" style="100" customWidth="1"/>
    <col min="2" max="2" width="82.75" style="80" customWidth="1"/>
    <col min="3" max="3" width="16.25" style="80" customWidth="1"/>
    <col min="4" max="4" width="14.875" style="80" customWidth="1"/>
    <col min="5" max="5" width="20.875" style="80" customWidth="1"/>
    <col min="6" max="6" width="18.25" style="80" customWidth="1"/>
    <col min="7" max="16384" width="9" style="80"/>
  </cols>
  <sheetData>
    <row r="1" spans="1:6" ht="60" customHeight="1" x14ac:dyDescent="0.2">
      <c r="A1" s="2" t="s">
        <v>144</v>
      </c>
      <c r="B1" s="78"/>
      <c r="C1" s="3"/>
      <c r="D1" s="83"/>
      <c r="E1" s="83"/>
      <c r="F1" s="83"/>
    </row>
    <row r="2" spans="1:6" x14ac:dyDescent="0.2">
      <c r="A2" s="2" t="s">
        <v>145</v>
      </c>
      <c r="B2" s="78"/>
      <c r="C2" s="12" t="s">
        <v>157</v>
      </c>
      <c r="D2" s="12" t="s">
        <v>169</v>
      </c>
      <c r="E2" s="12" t="s">
        <v>178</v>
      </c>
      <c r="F2" s="12" t="s">
        <v>179</v>
      </c>
    </row>
    <row r="3" spans="1:6" x14ac:dyDescent="0.2">
      <c r="A3" s="2" t="s">
        <v>146</v>
      </c>
      <c r="B3" s="78"/>
      <c r="C3" s="26" t="s">
        <v>158</v>
      </c>
      <c r="D3" s="26" t="s">
        <v>170</v>
      </c>
      <c r="E3" s="98" t="str">
        <f>D3&amp;", "&amp;C3</f>
        <v>اللامي, عائشة</v>
      </c>
      <c r="F3" s="99" t="str">
        <f>C3&amp;" "&amp;D3</f>
        <v>عائشة اللامي</v>
      </c>
    </row>
    <row r="4" spans="1:6" x14ac:dyDescent="0.2">
      <c r="A4" s="2" t="s">
        <v>147</v>
      </c>
      <c r="B4" s="78"/>
      <c r="C4" s="26" t="s">
        <v>159</v>
      </c>
      <c r="D4" s="26" t="s">
        <v>171</v>
      </c>
      <c r="E4" s="98"/>
      <c r="F4" s="99"/>
    </row>
    <row r="5" spans="1:6" x14ac:dyDescent="0.2">
      <c r="A5" s="2" t="s">
        <v>148</v>
      </c>
      <c r="B5" s="78"/>
      <c r="C5" s="26" t="s">
        <v>160</v>
      </c>
      <c r="D5" s="26" t="s">
        <v>172</v>
      </c>
      <c r="E5" s="98"/>
      <c r="F5" s="99"/>
    </row>
    <row r="6" spans="1:6" x14ac:dyDescent="0.2">
      <c r="A6" s="2" t="s">
        <v>11</v>
      </c>
      <c r="B6" s="78"/>
      <c r="C6" s="26" t="s">
        <v>161</v>
      </c>
      <c r="D6" s="26" t="s">
        <v>173</v>
      </c>
      <c r="E6" s="98"/>
      <c r="F6" s="99"/>
    </row>
    <row r="7" spans="1:6" x14ac:dyDescent="0.2">
      <c r="A7" s="2" t="s">
        <v>25</v>
      </c>
      <c r="B7" s="78"/>
      <c r="C7" s="26" t="s">
        <v>162</v>
      </c>
      <c r="D7" s="26" t="s">
        <v>174</v>
      </c>
      <c r="E7" s="98"/>
      <c r="F7" s="99"/>
    </row>
    <row r="8" spans="1:6" x14ac:dyDescent="0.2">
      <c r="A8" s="2" t="s">
        <v>149</v>
      </c>
      <c r="B8" s="78"/>
      <c r="C8" s="26" t="s">
        <v>163</v>
      </c>
      <c r="D8" s="26" t="s">
        <v>175</v>
      </c>
      <c r="E8" s="98"/>
      <c r="F8" s="99"/>
    </row>
    <row r="9" spans="1:6" x14ac:dyDescent="0.2">
      <c r="A9" s="2" t="s">
        <v>150</v>
      </c>
      <c r="B9" s="78"/>
      <c r="C9" s="26" t="s">
        <v>164</v>
      </c>
      <c r="D9" s="26" t="s">
        <v>176</v>
      </c>
      <c r="E9" s="98"/>
      <c r="F9" s="99"/>
    </row>
    <row r="10" spans="1:6" x14ac:dyDescent="0.2">
      <c r="A10" s="2" t="s">
        <v>151</v>
      </c>
      <c r="B10" s="78"/>
      <c r="C10" s="26" t="s">
        <v>165</v>
      </c>
      <c r="D10" s="26" t="s">
        <v>177</v>
      </c>
      <c r="E10" s="98"/>
      <c r="F10" s="99"/>
    </row>
    <row r="11" spans="1:6" x14ac:dyDescent="0.2">
      <c r="A11" s="2" t="s">
        <v>152</v>
      </c>
      <c r="B11" s="78"/>
      <c r="C11" s="78"/>
      <c r="D11" s="78"/>
      <c r="E11" s="78"/>
      <c r="F11" s="78"/>
    </row>
    <row r="12" spans="1:6" x14ac:dyDescent="0.2">
      <c r="A12" s="2" t="s">
        <v>153</v>
      </c>
      <c r="B12" s="78"/>
      <c r="C12" s="78"/>
      <c r="D12" s="78"/>
      <c r="E12" s="78"/>
      <c r="F12" s="78"/>
    </row>
    <row r="13" spans="1:6" ht="15" customHeight="1" x14ac:dyDescent="0.2">
      <c r="A13" s="4" t="s">
        <v>154</v>
      </c>
      <c r="B13" s="78"/>
      <c r="C13" s="78"/>
      <c r="D13" s="78"/>
      <c r="E13" s="78"/>
      <c r="F13" s="78"/>
    </row>
    <row r="14" spans="1:6" x14ac:dyDescent="0.2">
      <c r="A14" s="2" t="s">
        <v>26</v>
      </c>
      <c r="B14" s="78"/>
      <c r="C14" s="78"/>
      <c r="D14" s="78"/>
      <c r="E14" s="78"/>
      <c r="F14" s="78"/>
    </row>
    <row r="15" spans="1:6" x14ac:dyDescent="0.2">
      <c r="A15" s="2" t="s">
        <v>155</v>
      </c>
      <c r="B15" s="78"/>
      <c r="C15" s="78"/>
      <c r="D15" s="78"/>
      <c r="E15" s="78"/>
      <c r="F15" s="78"/>
    </row>
    <row r="16" spans="1:6" x14ac:dyDescent="0.2">
      <c r="A16" s="2" t="s">
        <v>156</v>
      </c>
      <c r="B16" s="78"/>
      <c r="C16" s="78"/>
      <c r="D16" s="78"/>
      <c r="E16" s="78"/>
      <c r="F16" s="78"/>
    </row>
    <row r="17" spans="1:6" x14ac:dyDescent="0.2">
      <c r="A17" s="2" t="s">
        <v>31</v>
      </c>
      <c r="B17" s="78"/>
      <c r="C17" s="78"/>
      <c r="D17" s="78"/>
      <c r="E17" s="78"/>
      <c r="F17" s="78"/>
    </row>
    <row r="18" spans="1:6" x14ac:dyDescent="0.2">
      <c r="A18" s="2"/>
      <c r="B18" s="78"/>
      <c r="C18" s="78"/>
      <c r="D18" s="78"/>
      <c r="E18" s="78"/>
      <c r="F18" s="78"/>
    </row>
    <row r="19" spans="1:6" x14ac:dyDescent="0.2">
      <c r="A19" s="2"/>
      <c r="B19" s="78"/>
      <c r="C19" s="78"/>
      <c r="D19" s="78"/>
      <c r="E19" s="78"/>
      <c r="F19" s="78"/>
    </row>
    <row r="20" spans="1:6" x14ac:dyDescent="0.2">
      <c r="A20" s="2"/>
      <c r="B20" s="78"/>
      <c r="C20" s="78"/>
      <c r="D20" s="78"/>
      <c r="E20" s="78"/>
      <c r="F20" s="78"/>
    </row>
    <row r="21" spans="1:6" x14ac:dyDescent="0.2">
      <c r="A21" s="2"/>
      <c r="B21" s="78"/>
      <c r="C21" s="78"/>
      <c r="D21" s="91"/>
      <c r="E21" s="78"/>
      <c r="F21" s="78"/>
    </row>
    <row r="22" spans="1:6" x14ac:dyDescent="0.2">
      <c r="A22" s="2"/>
      <c r="B22" s="78"/>
      <c r="C22" s="78"/>
      <c r="D22" s="78"/>
      <c r="E22" s="78"/>
      <c r="F22" s="78"/>
    </row>
    <row r="23" spans="1:6" x14ac:dyDescent="0.2">
      <c r="A23" s="2"/>
      <c r="B23" s="78"/>
      <c r="C23" s="78"/>
      <c r="D23" s="78"/>
      <c r="E23" s="78"/>
      <c r="F23" s="78"/>
    </row>
    <row r="24" spans="1:6" x14ac:dyDescent="0.2">
      <c r="A24" s="2"/>
      <c r="B24" s="78"/>
      <c r="C24" s="78"/>
      <c r="D24" s="78"/>
      <c r="E24" s="78"/>
      <c r="F24" s="78"/>
    </row>
    <row r="25" spans="1:6" x14ac:dyDescent="0.2">
      <c r="A25" s="2"/>
      <c r="B25" s="78"/>
      <c r="C25" s="78"/>
      <c r="D25" s="78"/>
      <c r="E25" s="78"/>
      <c r="F25" s="78"/>
    </row>
    <row r="26" spans="1:6" x14ac:dyDescent="0.2">
      <c r="A26" s="2"/>
      <c r="B26" s="78"/>
      <c r="C26" s="78"/>
      <c r="D26" s="78"/>
      <c r="E26" s="78"/>
      <c r="F26" s="78"/>
    </row>
    <row r="27" spans="1:6" x14ac:dyDescent="0.2">
      <c r="A27" s="2"/>
      <c r="B27" s="78"/>
      <c r="C27" s="122" t="s">
        <v>166</v>
      </c>
      <c r="D27" s="122"/>
      <c r="E27" s="78"/>
      <c r="F27" s="78"/>
    </row>
    <row r="28" spans="1:6" x14ac:dyDescent="0.2">
      <c r="A28" s="2"/>
      <c r="B28" s="78"/>
      <c r="C28" s="26" t="s">
        <v>129</v>
      </c>
      <c r="D28" s="38">
        <f ca="1">TODAY()</f>
        <v>43749</v>
      </c>
      <c r="E28" s="78"/>
      <c r="F28" s="78"/>
    </row>
    <row r="29" spans="1:6" x14ac:dyDescent="0.2">
      <c r="A29" s="2"/>
      <c r="B29" s="78"/>
      <c r="C29" s="26" t="s">
        <v>134</v>
      </c>
      <c r="D29" s="40">
        <f ca="1">NOW()</f>
        <v>43749.361380671297</v>
      </c>
      <c r="E29" s="78"/>
      <c r="F29" s="78"/>
    </row>
    <row r="30" spans="1:6" x14ac:dyDescent="0.2">
      <c r="A30" s="2"/>
      <c r="B30" s="78"/>
      <c r="C30" s="78"/>
      <c r="D30" s="78"/>
      <c r="E30" s="78"/>
      <c r="F30" s="78"/>
    </row>
    <row r="31" spans="1:6" x14ac:dyDescent="0.2">
      <c r="A31" s="2"/>
      <c r="B31" s="78"/>
      <c r="C31" s="123" t="s">
        <v>167</v>
      </c>
      <c r="D31" s="123"/>
      <c r="E31" s="78"/>
      <c r="F31" s="78"/>
    </row>
    <row r="32" spans="1:6" x14ac:dyDescent="0.2">
      <c r="A32" s="2"/>
      <c r="B32" s="78"/>
      <c r="C32" s="26" t="str">
        <f ca="1">C28&amp;" "&amp;D28</f>
        <v>تاريخ اليوم: 43749</v>
      </c>
      <c r="D32" s="26"/>
      <c r="E32" s="78"/>
      <c r="F32" s="78"/>
    </row>
    <row r="33" spans="1:6" x14ac:dyDescent="0.2">
      <c r="A33" s="2"/>
      <c r="B33" s="78"/>
      <c r="C33" s="26" t="str">
        <f ca="1">C29&amp;" "&amp;D29</f>
        <v>الوقت الحالي: 43749.3613806713</v>
      </c>
      <c r="D33" s="26"/>
      <c r="E33" s="78"/>
      <c r="F33" s="78"/>
    </row>
    <row r="34" spans="1:6" x14ac:dyDescent="0.2">
      <c r="A34" s="2"/>
      <c r="B34" s="78"/>
      <c r="C34" s="78"/>
      <c r="D34" s="78"/>
      <c r="E34" s="78"/>
      <c r="F34" s="78"/>
    </row>
    <row r="35" spans="1:6" x14ac:dyDescent="0.2">
      <c r="A35" s="2"/>
      <c r="B35" s="78"/>
      <c r="C35" s="124" t="s">
        <v>168</v>
      </c>
      <c r="D35" s="124"/>
      <c r="E35" s="78"/>
      <c r="F35" s="78"/>
    </row>
    <row r="36" spans="1:6" x14ac:dyDescent="0.2">
      <c r="A36" s="2"/>
      <c r="B36" s="78"/>
      <c r="C36" s="99" t="str">
        <f ca="1">C28 &amp;" "&amp; TEXT(D28,"DD/MM/YYYY")</f>
        <v>تاريخ اليوم: 11/10/2019</v>
      </c>
      <c r="D36" s="99"/>
      <c r="E36" s="78"/>
      <c r="F36" s="78"/>
    </row>
    <row r="37" spans="1:6" x14ac:dyDescent="0.2">
      <c r="A37" s="2"/>
      <c r="B37" s="78"/>
      <c r="C37" s="99" t="str">
        <f ca="1">C29&amp;" "&amp;TEXT(D29,"HH:MM:SS")</f>
        <v>الوقت الحالي: 08:40:23</v>
      </c>
      <c r="D37" s="99"/>
      <c r="E37" s="78"/>
      <c r="F37" s="78"/>
    </row>
  </sheetData>
  <mergeCells count="3">
    <mergeCell ref="C27:D27"/>
    <mergeCell ref="C31:D31"/>
    <mergeCell ref="C35:D35"/>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rightToLeft="1" workbookViewId="0">
      <selection activeCell="D9" sqref="D9"/>
    </sheetView>
  </sheetViews>
  <sheetFormatPr defaultRowHeight="14.25" x14ac:dyDescent="0.2"/>
  <cols>
    <col min="1" max="1" width="12.625" style="80" customWidth="1"/>
    <col min="2" max="2" width="82.75" style="80" customWidth="1"/>
    <col min="3" max="3" width="17.125" style="80" customWidth="1"/>
    <col min="4" max="4" width="26.125" style="80" customWidth="1"/>
    <col min="5" max="6" width="10.75" style="80" bestFit="1" customWidth="1"/>
    <col min="7" max="16384" width="9" style="80"/>
  </cols>
  <sheetData>
    <row r="1" spans="1:6" ht="60" customHeight="1" x14ac:dyDescent="0.2">
      <c r="A1" s="2" t="s">
        <v>180</v>
      </c>
      <c r="B1" s="78"/>
      <c r="C1" s="78"/>
      <c r="D1" s="83"/>
      <c r="E1" s="78"/>
      <c r="F1" s="78"/>
    </row>
    <row r="2" spans="1:6" x14ac:dyDescent="0.2">
      <c r="A2" s="2" t="s">
        <v>181</v>
      </c>
      <c r="B2" s="78"/>
      <c r="C2" s="78"/>
      <c r="D2" s="78"/>
      <c r="E2" s="89"/>
      <c r="F2" s="89"/>
    </row>
    <row r="3" spans="1:6" ht="15" customHeight="1" x14ac:dyDescent="0.2">
      <c r="A3" s="4" t="s">
        <v>182</v>
      </c>
      <c r="B3" s="78"/>
      <c r="C3" s="78"/>
      <c r="D3" s="78"/>
      <c r="E3" s="89"/>
      <c r="F3" s="89"/>
    </row>
    <row r="4" spans="1:6" ht="15" customHeight="1" x14ac:dyDescent="0.2">
      <c r="A4" s="4" t="s">
        <v>183</v>
      </c>
      <c r="B4" s="78"/>
      <c r="C4" s="78"/>
      <c r="D4" s="78"/>
      <c r="E4" s="89"/>
      <c r="F4" s="89"/>
    </row>
    <row r="5" spans="1:6" ht="15" customHeight="1" x14ac:dyDescent="0.2">
      <c r="A5" s="4" t="s">
        <v>184</v>
      </c>
      <c r="B5" s="78"/>
      <c r="C5" s="41"/>
      <c r="D5" s="78"/>
      <c r="E5" s="89"/>
      <c r="F5" s="89"/>
    </row>
    <row r="6" spans="1:6" ht="15" customHeight="1" x14ac:dyDescent="0.2">
      <c r="A6" s="4" t="s">
        <v>185</v>
      </c>
      <c r="B6" s="78"/>
      <c r="C6" s="78"/>
      <c r="D6" s="78"/>
      <c r="E6" s="89"/>
      <c r="F6" s="89"/>
    </row>
    <row r="7" spans="1:6" x14ac:dyDescent="0.2">
      <c r="A7" s="2" t="s">
        <v>11</v>
      </c>
      <c r="B7" s="78"/>
      <c r="C7" s="89"/>
      <c r="D7" s="89"/>
      <c r="E7" s="89"/>
      <c r="F7" s="89"/>
    </row>
    <row r="8" spans="1:6" x14ac:dyDescent="0.2">
      <c r="A8" s="2" t="s">
        <v>25</v>
      </c>
      <c r="B8" s="78"/>
      <c r="C8" s="125" t="s">
        <v>180</v>
      </c>
      <c r="D8" s="125"/>
      <c r="E8" s="78"/>
      <c r="F8" s="78"/>
    </row>
    <row r="9" spans="1:6" x14ac:dyDescent="0.2">
      <c r="A9" s="2" t="s">
        <v>186</v>
      </c>
      <c r="B9" s="78"/>
      <c r="C9" s="90" t="s">
        <v>313</v>
      </c>
      <c r="D9" s="42"/>
      <c r="E9" s="78"/>
      <c r="F9" s="78"/>
    </row>
    <row r="10" spans="1:6" x14ac:dyDescent="0.2">
      <c r="A10" s="2" t="s">
        <v>187</v>
      </c>
      <c r="B10" s="78"/>
      <c r="C10" s="90" t="s">
        <v>314</v>
      </c>
      <c r="D10" s="42"/>
      <c r="E10" s="78"/>
      <c r="F10" s="78"/>
    </row>
    <row r="11" spans="1:6" ht="15" customHeight="1" thickBot="1" x14ac:dyDescent="0.25">
      <c r="A11" s="4" t="s">
        <v>188</v>
      </c>
      <c r="B11" s="78"/>
      <c r="C11" s="89"/>
      <c r="D11" s="89"/>
      <c r="E11" s="78"/>
      <c r="F11" s="78"/>
    </row>
    <row r="12" spans="1:6" ht="15" customHeight="1" thickTop="1" thickBot="1" x14ac:dyDescent="0.25">
      <c r="A12" s="4" t="s">
        <v>189</v>
      </c>
      <c r="B12" s="78"/>
      <c r="C12" s="43">
        <v>50</v>
      </c>
      <c r="D12" s="42" t="str">
        <f>IF(C12&lt;100,"Less than 100","Greater than or equal to 100")</f>
        <v>Less than 100</v>
      </c>
      <c r="E12" s="78"/>
      <c r="F12" s="78"/>
    </row>
    <row r="13" spans="1:6" ht="15" customHeight="1" thickTop="1" x14ac:dyDescent="0.2">
      <c r="A13" s="4" t="s">
        <v>190</v>
      </c>
      <c r="B13" s="78"/>
      <c r="C13" s="78"/>
      <c r="D13" s="78"/>
      <c r="E13" s="78"/>
      <c r="F13" s="78"/>
    </row>
    <row r="14" spans="1:6" x14ac:dyDescent="0.2">
      <c r="A14" s="2" t="s">
        <v>191</v>
      </c>
      <c r="B14" s="78"/>
      <c r="C14" s="78"/>
      <c r="D14" s="78"/>
      <c r="E14" s="78"/>
      <c r="F14" s="78"/>
    </row>
    <row r="15" spans="1:6" ht="15" customHeight="1" x14ac:dyDescent="0.2">
      <c r="A15" s="4" t="s">
        <v>192</v>
      </c>
      <c r="B15" s="78"/>
      <c r="C15" s="78"/>
      <c r="D15" s="78"/>
      <c r="E15" s="78"/>
      <c r="F15" s="78"/>
    </row>
    <row r="16" spans="1:6" x14ac:dyDescent="0.2">
      <c r="A16" s="2" t="s">
        <v>24</v>
      </c>
      <c r="B16" s="78"/>
      <c r="C16" s="78"/>
      <c r="D16" s="78"/>
      <c r="E16" s="78"/>
      <c r="F16" s="78"/>
    </row>
    <row r="17" spans="1:6" x14ac:dyDescent="0.2">
      <c r="A17" s="2" t="s">
        <v>25</v>
      </c>
      <c r="B17" s="78"/>
      <c r="C17" s="78"/>
      <c r="D17" s="78"/>
      <c r="E17" s="78"/>
      <c r="F17" s="78"/>
    </row>
    <row r="18" spans="1:6" x14ac:dyDescent="0.2">
      <c r="A18" s="2" t="s">
        <v>26</v>
      </c>
      <c r="B18" s="78"/>
      <c r="C18" s="91"/>
      <c r="D18" s="78"/>
      <c r="E18" s="78"/>
      <c r="F18" s="78"/>
    </row>
    <row r="19" spans="1:6" x14ac:dyDescent="0.2">
      <c r="A19" s="2" t="s">
        <v>193</v>
      </c>
      <c r="B19" s="78"/>
      <c r="C19" s="78"/>
      <c r="D19" s="78"/>
      <c r="E19" s="78"/>
      <c r="F19" s="78"/>
    </row>
    <row r="20" spans="1:6" x14ac:dyDescent="0.2">
      <c r="A20" s="2" t="s">
        <v>194</v>
      </c>
      <c r="B20" s="78"/>
      <c r="C20" s="78"/>
      <c r="D20" s="78"/>
      <c r="E20" s="78"/>
      <c r="F20" s="78"/>
    </row>
    <row r="21" spans="1:6" x14ac:dyDescent="0.2">
      <c r="A21" s="2" t="s">
        <v>195</v>
      </c>
      <c r="B21" s="78"/>
      <c r="C21" s="78"/>
      <c r="D21" s="78"/>
      <c r="E21" s="78"/>
      <c r="F21" s="78"/>
    </row>
    <row r="22" spans="1:6" x14ac:dyDescent="0.2">
      <c r="A22" s="2" t="s">
        <v>31</v>
      </c>
      <c r="B22" s="78"/>
      <c r="C22" s="78"/>
      <c r="D22" s="78"/>
      <c r="E22" s="78"/>
      <c r="F22" s="78"/>
    </row>
    <row r="23" spans="1:6" x14ac:dyDescent="0.2">
      <c r="A23" s="78"/>
      <c r="B23" s="78"/>
      <c r="C23" s="78"/>
      <c r="D23" s="78"/>
      <c r="E23" s="78"/>
      <c r="F23" s="78"/>
    </row>
    <row r="24" spans="1:6" x14ac:dyDescent="0.2">
      <c r="A24" s="78"/>
      <c r="B24" s="78"/>
      <c r="C24" s="78"/>
      <c r="D24" s="78"/>
      <c r="E24" s="78"/>
      <c r="F24" s="78"/>
    </row>
    <row r="25" spans="1:6" x14ac:dyDescent="0.2">
      <c r="A25" s="78"/>
      <c r="B25" s="78"/>
      <c r="C25" s="78"/>
      <c r="D25" s="78"/>
      <c r="E25" s="78"/>
      <c r="F25" s="78"/>
    </row>
    <row r="26" spans="1:6" ht="15" thickBot="1" x14ac:dyDescent="0.25">
      <c r="A26" s="78"/>
      <c r="B26" s="78"/>
      <c r="C26" s="78"/>
      <c r="D26" s="78"/>
      <c r="E26" s="78"/>
      <c r="F26" s="78"/>
    </row>
    <row r="27" spans="1:6" ht="15" thickBot="1" x14ac:dyDescent="0.25">
      <c r="A27" s="78"/>
      <c r="B27" s="78"/>
      <c r="C27" s="44" t="s">
        <v>63</v>
      </c>
      <c r="D27" s="45" t="s">
        <v>198</v>
      </c>
      <c r="E27" s="45" t="s">
        <v>203</v>
      </c>
      <c r="F27" s="45" t="s">
        <v>202</v>
      </c>
    </row>
    <row r="28" spans="1:6" x14ac:dyDescent="0.2">
      <c r="A28" s="78"/>
      <c r="B28" s="78"/>
      <c r="C28" s="92" t="s">
        <v>196</v>
      </c>
      <c r="D28" s="92">
        <v>2</v>
      </c>
      <c r="E28" s="93">
        <v>9.7607115856835538</v>
      </c>
      <c r="F28" s="93" cm="1">
        <f t="array" ref="F28:F29">'عبارات IF'!$E$28:$E$29*'عبارات IF'!$D$28:$D$29</f>
        <v>19.521423171367108</v>
      </c>
    </row>
    <row r="29" spans="1:6" ht="15" thickBot="1" x14ac:dyDescent="0.25">
      <c r="A29" s="78"/>
      <c r="B29" s="78"/>
      <c r="C29" s="94" t="s">
        <v>197</v>
      </c>
      <c r="D29" s="94">
        <v>3</v>
      </c>
      <c r="E29" s="95">
        <v>3.4189202461080024</v>
      </c>
      <c r="F29" s="95">
        <v>10.256760738324008</v>
      </c>
    </row>
    <row r="30" spans="1:6" x14ac:dyDescent="0.2">
      <c r="A30" s="78"/>
      <c r="B30" s="78"/>
      <c r="C30" s="89"/>
      <c r="D30" s="89"/>
      <c r="E30" s="89"/>
      <c r="F30" s="89"/>
    </row>
    <row r="31" spans="1:6" x14ac:dyDescent="0.2">
      <c r="A31" s="78"/>
      <c r="B31" s="78"/>
      <c r="C31" s="89"/>
      <c r="D31" s="89" t="s">
        <v>199</v>
      </c>
      <c r="E31" s="96">
        <f>SUM('عبارات IF'!$E$28:$E$29)</f>
        <v>13.179631831791557</v>
      </c>
      <c r="F31" s="96">
        <f>SUM('عبارات IF'!F28:F29)</f>
        <v>29.778183909691116</v>
      </c>
    </row>
    <row r="32" spans="1:6" ht="15" thickBot="1" x14ac:dyDescent="0.25">
      <c r="A32" s="78"/>
      <c r="B32" s="78"/>
      <c r="C32" s="89"/>
      <c r="D32" s="89"/>
      <c r="E32" s="89"/>
      <c r="F32" s="89"/>
    </row>
    <row r="33" spans="1:6" ht="15.75" thickTop="1" thickBot="1" x14ac:dyDescent="0.25">
      <c r="A33" s="78"/>
      <c r="B33" s="78"/>
      <c r="C33" s="89"/>
      <c r="D33" s="89" t="s">
        <v>200</v>
      </c>
      <c r="E33" s="43" t="s">
        <v>306</v>
      </c>
      <c r="F33" s="97">
        <f>IF(E33="Yes",F31*SalesTax,0)</f>
        <v>2.456700172549517</v>
      </c>
    </row>
    <row r="34" spans="1:6" ht="15.75" thickTop="1" thickBot="1" x14ac:dyDescent="0.25">
      <c r="A34" s="78"/>
      <c r="B34" s="78"/>
      <c r="C34" s="89"/>
      <c r="D34" s="89"/>
      <c r="E34" s="89"/>
      <c r="F34" s="89"/>
    </row>
    <row r="35" spans="1:6" ht="15.75" thickTop="1" thickBot="1" x14ac:dyDescent="0.25">
      <c r="A35" s="78"/>
      <c r="B35" s="78"/>
      <c r="C35" s="89"/>
      <c r="D35" s="89" t="s">
        <v>201</v>
      </c>
      <c r="E35" s="43" t="s">
        <v>306</v>
      </c>
      <c r="F35" s="97">
        <f>IF(E35="نعم",SUM(D28:D29)*1.25,0)</f>
        <v>0</v>
      </c>
    </row>
    <row r="36" spans="1:6" ht="15" thickTop="1" x14ac:dyDescent="0.2">
      <c r="A36" s="78"/>
      <c r="B36" s="78"/>
      <c r="C36" s="78"/>
      <c r="D36" s="78"/>
      <c r="E36" s="78"/>
      <c r="F36" s="78"/>
    </row>
    <row r="37" spans="1:6" x14ac:dyDescent="0.2">
      <c r="A37" s="78"/>
      <c r="B37" s="78"/>
      <c r="C37" s="78"/>
      <c r="D37" s="89" t="s">
        <v>202</v>
      </c>
      <c r="E37" s="89"/>
      <c r="F37" s="96">
        <f>SUM(F33,F31,F35)</f>
        <v>32.234884082240633</v>
      </c>
    </row>
  </sheetData>
  <mergeCells count="1">
    <mergeCell ref="C8:D8"/>
  </mergeCells>
  <dataValidations count="1">
    <dataValidation type="list" allowBlank="1" showInputMessage="1" showErrorMessage="1" sqref="E35 E33" xr:uid="{00000000-0002-0000-0700-000000000000}">
      <formula1>"Yes,No"</formula1>
    </dataValidation>
  </dataValidations>
  <hyperlinks>
    <hyperlink ref="M25" r:id="rId1" display="https://support.office.com/en-us/article/IF-function-69AED7C9-4E8A-4755-A9BC-AA8BBFF73BE2" xr:uid="{00000000-0004-0000-0700-000000000000}"/>
  </hyperlinks>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8"/>
  <sheetViews>
    <sheetView showGridLines="0" rightToLeft="1" zoomScaleNormal="100" workbookViewId="0">
      <selection activeCell="D22" sqref="D22"/>
    </sheetView>
  </sheetViews>
  <sheetFormatPr defaultColWidth="8.75" defaultRowHeight="15" customHeight="1" x14ac:dyDescent="0.2"/>
  <cols>
    <col min="1" max="1" width="12.625" style="77" customWidth="1"/>
    <col min="2" max="2" width="82.75" style="68" customWidth="1"/>
    <col min="3" max="3" width="13.25" style="68" customWidth="1"/>
    <col min="4" max="4" width="13.25" style="84" customWidth="1"/>
    <col min="5" max="5" width="2.25" style="68" customWidth="1"/>
    <col min="6" max="7" width="13.25" style="68" customWidth="1"/>
    <col min="8" max="16384" width="8.75" style="68"/>
  </cols>
  <sheetData>
    <row r="1" spans="1:12" ht="60" customHeight="1" x14ac:dyDescent="0.2">
      <c r="A1" s="7" t="s">
        <v>204</v>
      </c>
      <c r="B1" s="21"/>
      <c r="C1" s="21"/>
      <c r="D1" s="22"/>
      <c r="E1" s="22"/>
      <c r="F1" s="22"/>
      <c r="G1" s="22"/>
      <c r="H1" s="23"/>
      <c r="I1" s="23"/>
      <c r="J1" s="23"/>
      <c r="K1" s="23"/>
      <c r="L1" s="23"/>
    </row>
    <row r="2" spans="1:12" ht="15" customHeight="1" x14ac:dyDescent="0.2">
      <c r="A2" s="7" t="s">
        <v>205</v>
      </c>
      <c r="B2" s="21"/>
      <c r="C2" s="21"/>
      <c r="D2" s="21"/>
      <c r="E2" s="21"/>
      <c r="F2" s="21"/>
      <c r="G2" s="21"/>
      <c r="H2" s="23"/>
      <c r="I2" s="23"/>
      <c r="J2" s="23"/>
      <c r="K2" s="23"/>
      <c r="L2" s="23"/>
    </row>
    <row r="3" spans="1:12" ht="15" customHeight="1" x14ac:dyDescent="0.2">
      <c r="A3" s="7" t="s">
        <v>206</v>
      </c>
      <c r="B3" s="21"/>
      <c r="C3" s="21"/>
      <c r="D3" s="21"/>
      <c r="E3" s="21"/>
      <c r="F3" s="21"/>
      <c r="G3" s="21"/>
      <c r="H3" s="23"/>
      <c r="I3" s="23"/>
      <c r="J3" s="23"/>
      <c r="K3" s="23"/>
      <c r="L3" s="23"/>
    </row>
    <row r="4" spans="1:12" ht="15" customHeight="1" x14ac:dyDescent="0.2">
      <c r="A4" s="7" t="s">
        <v>207</v>
      </c>
      <c r="B4" s="21"/>
      <c r="C4" s="21"/>
      <c r="D4" s="21"/>
      <c r="E4" s="21"/>
      <c r="F4" s="21"/>
      <c r="G4" s="21"/>
      <c r="H4" s="23"/>
      <c r="I4" s="23"/>
      <c r="J4" s="23"/>
      <c r="K4" s="23"/>
      <c r="L4" s="23"/>
    </row>
    <row r="5" spans="1:12" s="84" customFormat="1" ht="15" customHeight="1" x14ac:dyDescent="0.2">
      <c r="A5" s="46" t="s">
        <v>208</v>
      </c>
      <c r="B5" s="21"/>
      <c r="C5" s="21"/>
      <c r="D5" s="21"/>
      <c r="E5" s="21"/>
      <c r="F5" s="21"/>
      <c r="G5" s="21"/>
      <c r="H5" s="24"/>
      <c r="I5" s="24"/>
      <c r="J5" s="24"/>
      <c r="K5" s="24"/>
      <c r="L5" s="24"/>
    </row>
    <row r="6" spans="1:12" s="84" customFormat="1" ht="15" customHeight="1" x14ac:dyDescent="0.2">
      <c r="A6" s="46" t="s">
        <v>209</v>
      </c>
      <c r="B6" s="21"/>
      <c r="C6" s="21"/>
      <c r="D6" s="21"/>
      <c r="E6" s="21"/>
      <c r="F6" s="21"/>
      <c r="G6" s="21"/>
      <c r="H6" s="24"/>
      <c r="I6" s="24"/>
      <c r="J6" s="24"/>
      <c r="K6" s="24"/>
      <c r="L6" s="24"/>
    </row>
    <row r="7" spans="1:12" s="84" customFormat="1" ht="15" customHeight="1" x14ac:dyDescent="0.2">
      <c r="A7" s="46" t="s">
        <v>210</v>
      </c>
      <c r="B7" s="21"/>
      <c r="C7" s="21"/>
      <c r="D7" s="21"/>
      <c r="E7" s="21"/>
      <c r="F7" s="21"/>
      <c r="G7" s="21"/>
      <c r="H7" s="24"/>
      <c r="I7" s="24"/>
      <c r="J7" s="24"/>
      <c r="K7" s="24"/>
      <c r="L7" s="24"/>
    </row>
    <row r="8" spans="1:12" s="84" customFormat="1" ht="15" customHeight="1" x14ac:dyDescent="0.2">
      <c r="A8" s="47" t="s">
        <v>211</v>
      </c>
      <c r="B8" s="21"/>
      <c r="C8" s="21"/>
      <c r="D8" s="21"/>
      <c r="E8" s="21"/>
      <c r="F8" s="21"/>
      <c r="G8" s="21"/>
      <c r="H8" s="24"/>
      <c r="I8" s="24"/>
      <c r="J8" s="24"/>
      <c r="K8" s="24"/>
      <c r="L8" s="24"/>
    </row>
    <row r="9" spans="1:12" s="84" customFormat="1" ht="15" customHeight="1" x14ac:dyDescent="0.2">
      <c r="A9" s="47" t="s">
        <v>212</v>
      </c>
      <c r="B9" s="21"/>
      <c r="C9" s="21"/>
      <c r="D9" s="21"/>
      <c r="E9" s="21"/>
      <c r="F9" s="21"/>
      <c r="G9" s="21"/>
      <c r="H9" s="24"/>
      <c r="I9" s="24"/>
      <c r="J9" s="24"/>
      <c r="K9" s="24"/>
      <c r="L9" s="24"/>
    </row>
    <row r="10" spans="1:12" s="84" customFormat="1" ht="15" customHeight="1" x14ac:dyDescent="0.2">
      <c r="A10" s="46" t="s">
        <v>213</v>
      </c>
      <c r="B10" s="21"/>
      <c r="C10" s="21"/>
      <c r="D10" s="21"/>
      <c r="E10" s="21"/>
      <c r="F10" s="21"/>
      <c r="G10" s="21"/>
      <c r="H10" s="24"/>
      <c r="I10" s="24"/>
      <c r="J10" s="24"/>
      <c r="K10" s="24"/>
      <c r="L10" s="24"/>
    </row>
    <row r="11" spans="1:12" s="84" customFormat="1" ht="15" customHeight="1" x14ac:dyDescent="0.2">
      <c r="A11" s="46" t="s">
        <v>11</v>
      </c>
      <c r="B11" s="21"/>
      <c r="C11" s="21"/>
      <c r="D11" s="21"/>
      <c r="E11" s="21"/>
      <c r="F11" s="21"/>
      <c r="G11" s="21"/>
      <c r="H11" s="24"/>
      <c r="I11" s="24"/>
      <c r="J11" s="24"/>
      <c r="K11" s="24"/>
      <c r="L11" s="24"/>
    </row>
    <row r="12" spans="1:12" s="84" customFormat="1" ht="15" customHeight="1" x14ac:dyDescent="0.2">
      <c r="A12" s="46" t="s">
        <v>25</v>
      </c>
      <c r="B12" s="21"/>
      <c r="C12" s="21"/>
      <c r="D12" s="21"/>
      <c r="E12" s="21"/>
      <c r="F12" s="21"/>
      <c r="G12" s="21"/>
      <c r="H12" s="24"/>
      <c r="I12" s="24"/>
      <c r="J12" s="24"/>
      <c r="K12" s="24"/>
      <c r="L12" s="24"/>
    </row>
    <row r="13" spans="1:12" s="84" customFormat="1" ht="15" customHeight="1" x14ac:dyDescent="0.2">
      <c r="A13" s="46" t="s">
        <v>214</v>
      </c>
      <c r="B13" s="21"/>
      <c r="C13" s="41"/>
      <c r="D13" s="86"/>
      <c r="E13" s="86"/>
      <c r="F13" s="86"/>
      <c r="G13" s="86"/>
      <c r="H13" s="24"/>
      <c r="I13" s="24"/>
      <c r="J13" s="24"/>
      <c r="K13" s="24"/>
      <c r="L13" s="24"/>
    </row>
    <row r="14" spans="1:12" s="84" customFormat="1" ht="15" customHeight="1" x14ac:dyDescent="0.2">
      <c r="A14" s="46" t="s">
        <v>215</v>
      </c>
      <c r="B14" s="21"/>
      <c r="C14" s="86"/>
      <c r="D14" s="86"/>
      <c r="E14" s="86"/>
      <c r="F14" s="86"/>
      <c r="G14" s="86"/>
      <c r="H14" s="24"/>
      <c r="I14" s="24"/>
      <c r="J14" s="24"/>
      <c r="K14" s="24"/>
      <c r="L14" s="24"/>
    </row>
    <row r="15" spans="1:12" s="84" customFormat="1" ht="15" customHeight="1" x14ac:dyDescent="0.2">
      <c r="A15" s="47" t="s">
        <v>216</v>
      </c>
      <c r="B15" s="21"/>
      <c r="C15" s="21"/>
      <c r="D15" s="21"/>
      <c r="E15" s="21"/>
      <c r="F15" s="21"/>
      <c r="G15" s="21"/>
      <c r="H15" s="24"/>
      <c r="I15" s="24"/>
      <c r="J15" s="24"/>
      <c r="K15" s="24"/>
      <c r="L15" s="24"/>
    </row>
    <row r="16" spans="1:12" s="84" customFormat="1" ht="15" customHeight="1" x14ac:dyDescent="0.2">
      <c r="A16" s="4" t="s">
        <v>309</v>
      </c>
      <c r="B16" s="21"/>
      <c r="C16" s="48" t="s">
        <v>57</v>
      </c>
      <c r="D16" s="49" t="s">
        <v>73</v>
      </c>
      <c r="E16" s="50"/>
      <c r="F16" s="48" t="s">
        <v>76</v>
      </c>
      <c r="G16" s="49" t="s">
        <v>73</v>
      </c>
      <c r="H16" s="24"/>
      <c r="I16" s="24"/>
      <c r="J16" s="24"/>
      <c r="K16" s="24"/>
      <c r="L16" s="24"/>
    </row>
    <row r="17" spans="1:12" s="84" customFormat="1" ht="15" customHeight="1" x14ac:dyDescent="0.2">
      <c r="A17" s="46" t="s">
        <v>217</v>
      </c>
      <c r="B17" s="21"/>
      <c r="C17" s="26" t="s">
        <v>58</v>
      </c>
      <c r="D17" s="27">
        <v>50</v>
      </c>
      <c r="E17" s="24"/>
      <c r="F17" s="26" t="s">
        <v>77</v>
      </c>
      <c r="G17" s="27">
        <v>50</v>
      </c>
      <c r="H17" s="24"/>
      <c r="I17" s="24"/>
      <c r="J17" s="24"/>
      <c r="K17" s="24"/>
      <c r="L17" s="24"/>
    </row>
    <row r="18" spans="1:12" s="84" customFormat="1" ht="15" customHeight="1" x14ac:dyDescent="0.2">
      <c r="A18" s="46" t="s">
        <v>24</v>
      </c>
      <c r="B18" s="21"/>
      <c r="C18" s="26" t="s">
        <v>59</v>
      </c>
      <c r="D18" s="27">
        <v>20</v>
      </c>
      <c r="E18" s="24"/>
      <c r="F18" s="26" t="s">
        <v>78</v>
      </c>
      <c r="G18" s="27">
        <v>30</v>
      </c>
      <c r="H18" s="24"/>
      <c r="I18" s="24"/>
      <c r="J18" s="24"/>
      <c r="K18" s="24"/>
      <c r="L18" s="24"/>
    </row>
    <row r="19" spans="1:12" s="84" customFormat="1" ht="15" customHeight="1" x14ac:dyDescent="0.2">
      <c r="A19" s="46" t="s">
        <v>25</v>
      </c>
      <c r="B19" s="21"/>
      <c r="C19" s="26" t="s">
        <v>60</v>
      </c>
      <c r="D19" s="27">
        <v>60</v>
      </c>
      <c r="E19" s="24"/>
      <c r="F19" s="26" t="s">
        <v>79</v>
      </c>
      <c r="G19" s="27">
        <v>10</v>
      </c>
      <c r="H19" s="24"/>
      <c r="I19" s="24"/>
      <c r="J19" s="24"/>
      <c r="K19" s="24"/>
      <c r="L19" s="24"/>
    </row>
    <row r="20" spans="1:12" s="84" customFormat="1" ht="15" customHeight="1" x14ac:dyDescent="0.2">
      <c r="A20" s="46" t="s">
        <v>26</v>
      </c>
      <c r="B20" s="21"/>
      <c r="C20" s="26" t="s">
        <v>61</v>
      </c>
      <c r="D20" s="27">
        <v>40</v>
      </c>
      <c r="E20" s="24"/>
      <c r="F20" s="26" t="s">
        <v>80</v>
      </c>
      <c r="G20" s="27">
        <v>50</v>
      </c>
      <c r="H20" s="24"/>
      <c r="I20" s="24"/>
      <c r="J20" s="24"/>
      <c r="K20" s="24"/>
      <c r="L20" s="24"/>
    </row>
    <row r="21" spans="1:12" s="84" customFormat="1" ht="15" customHeight="1" thickBot="1" x14ac:dyDescent="0.25">
      <c r="A21" s="46" t="s">
        <v>218</v>
      </c>
      <c r="B21" s="21"/>
      <c r="C21" s="21"/>
      <c r="D21" s="21"/>
      <c r="E21" s="21"/>
      <c r="F21" s="21"/>
      <c r="G21" s="21"/>
      <c r="H21" s="24"/>
      <c r="I21" s="24"/>
      <c r="J21" s="24"/>
      <c r="K21" s="24"/>
      <c r="L21" s="24"/>
    </row>
    <row r="22" spans="1:12" s="84" customFormat="1" ht="15" customHeight="1" thickTop="1" thickBot="1" x14ac:dyDescent="0.25">
      <c r="A22" s="46" t="s">
        <v>219</v>
      </c>
      <c r="B22" s="21"/>
      <c r="C22" s="51" t="s">
        <v>58</v>
      </c>
      <c r="D22" s="52"/>
      <c r="E22" s="24"/>
      <c r="F22" s="51" t="s">
        <v>79</v>
      </c>
      <c r="G22" s="52"/>
      <c r="H22" s="24"/>
      <c r="I22" s="24"/>
      <c r="J22" s="24"/>
      <c r="K22" s="24"/>
      <c r="L22" s="24"/>
    </row>
    <row r="23" spans="1:12" s="84" customFormat="1" ht="15" customHeight="1" thickTop="1" x14ac:dyDescent="0.2">
      <c r="A23" s="46" t="s">
        <v>220</v>
      </c>
      <c r="B23" s="21"/>
      <c r="C23" s="21"/>
      <c r="D23" s="24"/>
      <c r="E23" s="24"/>
      <c r="F23" s="21"/>
      <c r="G23" s="24"/>
      <c r="H23" s="24"/>
      <c r="I23" s="24"/>
      <c r="J23" s="24"/>
      <c r="K23" s="24"/>
      <c r="L23" s="24"/>
    </row>
    <row r="24" spans="1:12" s="84" customFormat="1" ht="15" customHeight="1" x14ac:dyDescent="0.2">
      <c r="A24" s="46" t="s">
        <v>221</v>
      </c>
      <c r="B24" s="21"/>
      <c r="C24" s="21"/>
      <c r="D24" s="21"/>
      <c r="E24" s="21"/>
      <c r="F24" s="21"/>
      <c r="G24" s="21"/>
      <c r="H24" s="24"/>
      <c r="I24" s="24"/>
      <c r="J24" s="24"/>
      <c r="K24" s="24"/>
      <c r="L24" s="24"/>
    </row>
    <row r="25" spans="1:12" s="84" customFormat="1" ht="15" customHeight="1" x14ac:dyDescent="0.2">
      <c r="A25" s="46" t="s">
        <v>31</v>
      </c>
      <c r="B25" s="21"/>
      <c r="C25" s="21"/>
      <c r="D25" s="21"/>
      <c r="E25" s="21"/>
      <c r="F25" s="21"/>
      <c r="G25" s="21"/>
      <c r="H25" s="24"/>
      <c r="I25" s="24"/>
      <c r="J25" s="24"/>
      <c r="K25" s="24"/>
      <c r="L25" s="24"/>
    </row>
    <row r="26" spans="1:12" ht="15" customHeight="1" x14ac:dyDescent="0.2">
      <c r="A26" s="7"/>
      <c r="B26" s="21"/>
      <c r="C26" s="21"/>
      <c r="D26" s="21"/>
      <c r="E26" s="21"/>
      <c r="F26" s="21"/>
      <c r="G26" s="21"/>
      <c r="H26" s="23"/>
      <c r="I26" s="24"/>
      <c r="J26" s="24"/>
      <c r="K26" s="24"/>
      <c r="L26" s="24"/>
    </row>
    <row r="27" spans="1:12" ht="15" customHeight="1" x14ac:dyDescent="0.2">
      <c r="A27" s="7"/>
      <c r="B27" s="21"/>
      <c r="C27" s="21"/>
      <c r="D27" s="21"/>
      <c r="E27" s="21"/>
      <c r="F27" s="21"/>
      <c r="G27" s="21"/>
      <c r="H27" s="23"/>
      <c r="I27" s="23"/>
      <c r="J27" s="23"/>
      <c r="K27" s="23"/>
      <c r="L27" s="23"/>
    </row>
    <row r="28" spans="1:12" ht="15" customHeight="1" x14ac:dyDescent="0.2">
      <c r="A28" s="7"/>
      <c r="B28" s="21"/>
      <c r="C28" s="21"/>
      <c r="D28" s="21"/>
      <c r="E28" s="21"/>
      <c r="F28" s="21"/>
      <c r="G28" s="21"/>
      <c r="H28" s="23"/>
      <c r="I28" s="23"/>
      <c r="J28" s="23"/>
      <c r="K28" s="23"/>
      <c r="L28" s="23"/>
    </row>
    <row r="29" spans="1:12" ht="15" customHeight="1" x14ac:dyDescent="0.2">
      <c r="A29" s="7"/>
      <c r="B29" s="21"/>
      <c r="C29" s="21"/>
      <c r="D29" s="21"/>
      <c r="E29" s="21"/>
      <c r="F29" s="21"/>
      <c r="G29" s="21"/>
      <c r="H29" s="23"/>
      <c r="I29" s="23"/>
      <c r="J29" s="23"/>
      <c r="K29" s="23"/>
      <c r="L29" s="23"/>
    </row>
    <row r="30" spans="1:12" ht="15" customHeight="1" x14ac:dyDescent="0.2">
      <c r="A30" s="7"/>
      <c r="B30" s="21"/>
      <c r="C30" s="21"/>
      <c r="D30" s="21"/>
      <c r="E30" s="21"/>
      <c r="F30" s="21"/>
      <c r="G30" s="21"/>
      <c r="H30" s="23"/>
      <c r="I30" s="23"/>
      <c r="J30" s="23"/>
      <c r="K30" s="23"/>
      <c r="L30" s="23"/>
    </row>
    <row r="31" spans="1:12" ht="15" customHeight="1" x14ac:dyDescent="0.2">
      <c r="A31" s="7"/>
      <c r="B31" s="21"/>
      <c r="C31" s="21"/>
      <c r="D31" s="21"/>
      <c r="E31" s="21"/>
      <c r="F31" s="21"/>
      <c r="G31" s="21"/>
      <c r="H31" s="23"/>
      <c r="I31" s="23"/>
      <c r="J31" s="23"/>
      <c r="K31" s="23"/>
      <c r="L31" s="23"/>
    </row>
    <row r="32" spans="1:12" ht="15" customHeight="1" x14ac:dyDescent="0.2">
      <c r="A32" s="7"/>
      <c r="B32" s="21"/>
      <c r="C32" s="21"/>
      <c r="D32" s="21"/>
      <c r="E32" s="21"/>
      <c r="F32" s="21"/>
      <c r="G32" s="21"/>
      <c r="H32" s="23"/>
      <c r="I32" s="23"/>
      <c r="J32" s="23"/>
      <c r="K32" s="23"/>
      <c r="L32" s="23"/>
    </row>
    <row r="33" spans="1:12" ht="15" customHeight="1" x14ac:dyDescent="0.2">
      <c r="A33" s="7"/>
      <c r="B33" s="21"/>
      <c r="C33" s="53"/>
      <c r="D33" s="87"/>
      <c r="E33" s="87"/>
      <c r="F33" s="87"/>
      <c r="G33" s="87"/>
      <c r="H33" s="23"/>
      <c r="I33" s="23"/>
      <c r="J33" s="23"/>
      <c r="K33" s="23"/>
      <c r="L33" s="23"/>
    </row>
    <row r="34" spans="1:12" ht="15" customHeight="1" x14ac:dyDescent="0.2">
      <c r="A34" s="7"/>
      <c r="B34" s="21"/>
      <c r="C34" s="87"/>
      <c r="D34" s="87"/>
      <c r="E34" s="87"/>
      <c r="F34" s="87"/>
      <c r="G34" s="87"/>
      <c r="H34" s="23"/>
      <c r="I34" s="23"/>
      <c r="J34" s="23"/>
      <c r="K34" s="23"/>
      <c r="L34" s="23"/>
    </row>
    <row r="35" spans="1:12" ht="15" customHeight="1" x14ac:dyDescent="0.2">
      <c r="A35" s="7"/>
      <c r="B35" s="21"/>
      <c r="C35" s="88" t="s">
        <v>99</v>
      </c>
      <c r="D35" s="22"/>
      <c r="E35" s="22"/>
      <c r="F35" s="22"/>
      <c r="G35" s="22"/>
      <c r="H35" s="23"/>
      <c r="I35" s="23"/>
      <c r="J35" s="23"/>
      <c r="K35" s="23"/>
      <c r="L35" s="23"/>
    </row>
    <row r="36" spans="1:12" ht="15" customHeight="1" x14ac:dyDescent="0.2">
      <c r="A36" s="7"/>
      <c r="B36" s="21"/>
      <c r="C36" s="48" t="s">
        <v>63</v>
      </c>
      <c r="D36" s="49" t="s">
        <v>73</v>
      </c>
      <c r="E36" s="50"/>
      <c r="F36" s="48" t="s">
        <v>63</v>
      </c>
      <c r="G36" s="49" t="s">
        <v>73</v>
      </c>
      <c r="H36" s="23"/>
      <c r="I36" s="23"/>
      <c r="J36" s="23"/>
      <c r="K36" s="23"/>
      <c r="L36" s="23"/>
    </row>
    <row r="37" spans="1:12" ht="15" customHeight="1" x14ac:dyDescent="0.2">
      <c r="A37" s="7"/>
      <c r="B37" s="21"/>
      <c r="C37" s="26" t="s">
        <v>64</v>
      </c>
      <c r="D37" s="27">
        <v>50</v>
      </c>
      <c r="E37" s="24"/>
      <c r="F37" s="26" t="s">
        <v>64</v>
      </c>
      <c r="G37" s="27">
        <v>50</v>
      </c>
      <c r="H37" s="23"/>
      <c r="I37" s="23"/>
      <c r="J37" s="23"/>
      <c r="K37" s="23"/>
      <c r="L37" s="23"/>
    </row>
    <row r="38" spans="1:12" ht="15" customHeight="1" x14ac:dyDescent="0.2">
      <c r="A38" s="7"/>
      <c r="B38" s="21"/>
      <c r="C38" s="26" t="s">
        <v>65</v>
      </c>
      <c r="D38" s="27">
        <v>100</v>
      </c>
      <c r="E38" s="24"/>
      <c r="F38" s="26" t="s">
        <v>65</v>
      </c>
      <c r="G38" s="27">
        <v>100</v>
      </c>
      <c r="H38" s="23"/>
      <c r="I38" s="23"/>
      <c r="J38" s="23"/>
      <c r="K38" s="23"/>
      <c r="L38" s="23"/>
    </row>
    <row r="39" spans="1:12" ht="15" customHeight="1" x14ac:dyDescent="0.2">
      <c r="A39" s="7"/>
      <c r="B39" s="21"/>
      <c r="C39" s="26" t="s">
        <v>66</v>
      </c>
      <c r="D39" s="27">
        <v>40</v>
      </c>
      <c r="E39" s="24"/>
      <c r="F39" s="26" t="s">
        <v>66</v>
      </c>
      <c r="G39" s="27">
        <v>40</v>
      </c>
      <c r="H39" s="23"/>
      <c r="I39" s="23"/>
      <c r="J39" s="23"/>
      <c r="K39" s="23"/>
      <c r="L39" s="23"/>
    </row>
    <row r="40" spans="1:12" ht="15" customHeight="1" x14ac:dyDescent="0.2">
      <c r="A40" s="7"/>
      <c r="B40" s="21"/>
      <c r="C40" s="26" t="s">
        <v>67</v>
      </c>
      <c r="D40" s="27">
        <v>50</v>
      </c>
      <c r="E40" s="24"/>
      <c r="F40" s="26" t="s">
        <v>67</v>
      </c>
      <c r="G40" s="27">
        <v>50</v>
      </c>
      <c r="H40" s="23"/>
      <c r="I40" s="23"/>
      <c r="J40" s="23"/>
      <c r="K40" s="23"/>
      <c r="L40" s="23"/>
    </row>
    <row r="41" spans="1:12" ht="15" customHeight="1" x14ac:dyDescent="0.2">
      <c r="A41" s="7"/>
      <c r="B41" s="21"/>
      <c r="C41" s="26" t="s">
        <v>68</v>
      </c>
      <c r="D41" s="27">
        <v>20</v>
      </c>
      <c r="E41" s="24"/>
      <c r="F41" s="26" t="s">
        <v>68</v>
      </c>
      <c r="G41" s="27">
        <v>20</v>
      </c>
      <c r="H41" s="23"/>
      <c r="I41" s="23"/>
      <c r="J41" s="23"/>
      <c r="K41" s="23"/>
      <c r="L41" s="23"/>
    </row>
    <row r="42" spans="1:12" ht="15" customHeight="1" thickBot="1" x14ac:dyDescent="0.25">
      <c r="A42" s="7"/>
      <c r="B42" s="21"/>
      <c r="C42" s="21"/>
      <c r="D42" s="21"/>
      <c r="E42" s="21"/>
      <c r="F42" s="21"/>
      <c r="G42" s="21"/>
      <c r="H42" s="23"/>
      <c r="I42" s="23"/>
      <c r="J42" s="23"/>
      <c r="K42" s="23"/>
      <c r="L42" s="23"/>
    </row>
    <row r="43" spans="1:12" ht="15" customHeight="1" thickTop="1" thickBot="1" x14ac:dyDescent="0.25">
      <c r="A43" s="7"/>
      <c r="B43" s="21"/>
      <c r="C43" s="51"/>
      <c r="D43" s="52" t="e">
        <f>VLOOKUP(C43,C37:D41,2,FALSE)</f>
        <v>#N/A</v>
      </c>
      <c r="E43" s="24"/>
      <c r="F43" s="51" t="s">
        <v>222</v>
      </c>
      <c r="G43" s="52" t="str">
        <f>IFERROR(VLOOKUP(F43,F37:G41,2,FALSE),"")</f>
        <v/>
      </c>
      <c r="H43" s="23"/>
      <c r="I43" s="23"/>
      <c r="J43" s="23"/>
      <c r="K43" s="23"/>
      <c r="L43" s="23"/>
    </row>
    <row r="44" spans="1:12" ht="15" customHeight="1" thickTop="1" x14ac:dyDescent="0.2">
      <c r="A44" s="67"/>
      <c r="B44" s="23"/>
      <c r="C44" s="23"/>
      <c r="D44" s="24"/>
      <c r="E44" s="23"/>
      <c r="F44" s="23"/>
      <c r="G44" s="23"/>
      <c r="H44" s="23"/>
      <c r="I44" s="23"/>
      <c r="J44" s="23"/>
      <c r="K44" s="23"/>
      <c r="L44" s="23"/>
    </row>
    <row r="45" spans="1:12" ht="15" customHeight="1" x14ac:dyDescent="0.2">
      <c r="A45" s="67"/>
      <c r="B45" s="23"/>
      <c r="C45" s="23"/>
      <c r="D45" s="24"/>
      <c r="E45" s="23"/>
      <c r="F45" s="23"/>
      <c r="G45" s="23"/>
      <c r="H45" s="23"/>
      <c r="I45" s="23"/>
      <c r="J45" s="23"/>
      <c r="K45" s="23"/>
      <c r="L45" s="23"/>
    </row>
    <row r="46" spans="1:12" ht="15" customHeight="1" x14ac:dyDescent="0.2">
      <c r="A46" s="67"/>
      <c r="B46" s="23"/>
      <c r="C46" s="23"/>
      <c r="D46" s="24"/>
      <c r="E46" s="23"/>
      <c r="F46" s="23"/>
      <c r="G46" s="23"/>
      <c r="H46" s="23"/>
      <c r="I46" s="23"/>
      <c r="J46" s="23"/>
      <c r="K46" s="23"/>
      <c r="L46" s="23"/>
    </row>
    <row r="47" spans="1:12" ht="15" customHeight="1" x14ac:dyDescent="0.2">
      <c r="A47" s="67"/>
      <c r="B47" s="23"/>
      <c r="C47" s="23"/>
      <c r="D47" s="24"/>
      <c r="E47" s="23"/>
      <c r="F47" s="23"/>
      <c r="G47" s="23"/>
      <c r="H47" s="23"/>
      <c r="I47" s="23"/>
      <c r="J47" s="23"/>
      <c r="K47" s="23"/>
      <c r="L47" s="23"/>
    </row>
    <row r="48" spans="1:12" ht="15" customHeight="1" x14ac:dyDescent="0.2">
      <c r="A48" s="67"/>
      <c r="B48" s="23"/>
      <c r="C48" s="23"/>
      <c r="D48" s="24"/>
      <c r="E48" s="23"/>
      <c r="F48" s="23"/>
      <c r="G48" s="23"/>
      <c r="H48" s="23"/>
      <c r="I48" s="23"/>
      <c r="J48" s="23"/>
      <c r="K48" s="23"/>
      <c r="L48" s="23"/>
    </row>
  </sheetData>
  <dataValidations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rightToLeft="1" zoomScaleNormal="100" workbookViewId="0">
      <selection activeCell="D17" sqref="D17"/>
    </sheetView>
  </sheetViews>
  <sheetFormatPr defaultColWidth="8.75" defaultRowHeight="14.25" x14ac:dyDescent="0.2"/>
  <cols>
    <col min="1" max="1" width="12.625" style="77" customWidth="1"/>
    <col min="2" max="2" width="82.75" style="77" customWidth="1"/>
    <col min="3" max="4" width="12.625" style="68" customWidth="1"/>
    <col min="5" max="5" width="8.375" style="68" customWidth="1"/>
    <col min="6" max="8" width="12.625" style="68" customWidth="1"/>
    <col min="9" max="25" width="8.75" style="68"/>
    <col min="26" max="26" width="8.75" style="68" hidden="1" customWidth="1"/>
    <col min="27" max="27" width="2.25" style="68" hidden="1" customWidth="1"/>
    <col min="28" max="28" width="10.875" style="68" hidden="1" customWidth="1"/>
    <col min="29" max="29" width="2.25" style="68" hidden="1" customWidth="1"/>
    <col min="30" max="30" width="10.875" style="68" hidden="1" customWidth="1"/>
    <col min="31" max="31" width="2.25" style="68" hidden="1" customWidth="1"/>
    <col min="32" max="32" width="10.875" style="68" hidden="1" customWidth="1"/>
    <col min="33" max="33" width="2.25" style="68" hidden="1" customWidth="1"/>
    <col min="34" max="34" width="10.875" style="68" hidden="1" customWidth="1"/>
    <col min="35" max="16384" width="8.75" style="68"/>
  </cols>
  <sheetData>
    <row r="1" spans="1:34" ht="60" customHeight="1" x14ac:dyDescent="0.2">
      <c r="A1" s="2" t="s">
        <v>223</v>
      </c>
      <c r="B1" s="7"/>
      <c r="C1" s="3"/>
      <c r="D1" s="22"/>
      <c r="E1" s="22"/>
      <c r="F1" s="22"/>
      <c r="G1" s="22"/>
      <c r="H1" s="22"/>
      <c r="I1" s="21"/>
      <c r="J1" s="21"/>
      <c r="K1" s="21"/>
      <c r="L1" s="21"/>
      <c r="M1" s="21"/>
      <c r="N1" s="21"/>
      <c r="O1" s="21"/>
      <c r="P1" s="21"/>
      <c r="Q1" s="21"/>
      <c r="R1" s="21"/>
      <c r="S1" s="21"/>
      <c r="T1" s="21"/>
      <c r="U1" s="21"/>
      <c r="V1" s="21"/>
      <c r="W1" s="21"/>
      <c r="X1" s="21"/>
      <c r="Y1" s="21"/>
      <c r="Z1" s="21"/>
      <c r="AA1" s="21"/>
      <c r="AB1" s="21"/>
      <c r="AC1" s="21"/>
      <c r="AD1" s="21"/>
      <c r="AE1" s="21"/>
      <c r="AF1" s="21"/>
      <c r="AG1" s="21"/>
      <c r="AH1" s="21"/>
    </row>
    <row r="2" spans="1:34" ht="15" customHeight="1" x14ac:dyDescent="0.2">
      <c r="A2" s="2" t="s">
        <v>224</v>
      </c>
      <c r="B2" s="7"/>
      <c r="C2" s="12" t="s">
        <v>57</v>
      </c>
      <c r="D2" s="13" t="s">
        <v>73</v>
      </c>
      <c r="E2" s="24"/>
      <c r="F2" s="12" t="s">
        <v>57</v>
      </c>
      <c r="G2" s="12" t="s">
        <v>264</v>
      </c>
      <c r="H2" s="13" t="s">
        <v>73</v>
      </c>
      <c r="I2" s="21"/>
      <c r="J2" s="21"/>
      <c r="K2" s="21"/>
      <c r="L2" s="21"/>
      <c r="M2" s="21"/>
      <c r="N2" s="21"/>
      <c r="O2" s="21"/>
      <c r="P2" s="21"/>
      <c r="Q2" s="21"/>
      <c r="R2" s="21"/>
      <c r="S2" s="21"/>
      <c r="T2" s="21"/>
      <c r="U2" s="21"/>
      <c r="V2" s="21"/>
      <c r="W2" s="21"/>
      <c r="X2" s="21"/>
      <c r="Y2" s="21"/>
      <c r="Z2" s="12" t="s">
        <v>57</v>
      </c>
      <c r="AA2" s="21"/>
      <c r="AB2" s="12" t="s">
        <v>58</v>
      </c>
      <c r="AC2" s="21"/>
      <c r="AD2" s="12" t="s">
        <v>59</v>
      </c>
      <c r="AE2" s="21"/>
      <c r="AF2" s="12" t="s">
        <v>60</v>
      </c>
      <c r="AG2" s="21"/>
      <c r="AH2" s="12" t="s">
        <v>61</v>
      </c>
    </row>
    <row r="3" spans="1:34" ht="15" customHeight="1" x14ac:dyDescent="0.2">
      <c r="A3" s="2" t="s">
        <v>225</v>
      </c>
      <c r="B3" s="7"/>
      <c r="C3" s="26" t="s">
        <v>58</v>
      </c>
      <c r="D3" s="27">
        <v>50</v>
      </c>
      <c r="E3" s="24"/>
      <c r="F3" s="26" t="s">
        <v>58</v>
      </c>
      <c r="G3" s="26" t="s">
        <v>265</v>
      </c>
      <c r="H3" s="27">
        <v>50</v>
      </c>
      <c r="I3" s="21"/>
      <c r="J3" s="21"/>
      <c r="K3" s="21"/>
      <c r="L3" s="21"/>
      <c r="M3" s="21"/>
      <c r="N3" s="21"/>
      <c r="O3" s="21"/>
      <c r="P3" s="21"/>
      <c r="Q3" s="21"/>
      <c r="R3" s="21"/>
      <c r="S3" s="21"/>
      <c r="T3" s="21"/>
      <c r="U3" s="21"/>
      <c r="V3" s="21"/>
      <c r="W3" s="21"/>
      <c r="X3" s="21"/>
      <c r="Y3" s="21"/>
      <c r="Z3" s="54" t="s">
        <v>58</v>
      </c>
      <c r="AA3" s="21"/>
      <c r="AB3" s="54" t="s">
        <v>265</v>
      </c>
      <c r="AC3" s="21"/>
      <c r="AD3" s="54" t="s">
        <v>266</v>
      </c>
      <c r="AE3" s="21"/>
      <c r="AF3" s="54" t="s">
        <v>267</v>
      </c>
      <c r="AG3" s="21"/>
      <c r="AH3" s="54" t="s">
        <v>268</v>
      </c>
    </row>
    <row r="4" spans="1:34" ht="15" customHeight="1" x14ac:dyDescent="0.2">
      <c r="A4" s="2" t="s">
        <v>226</v>
      </c>
      <c r="B4" s="7"/>
      <c r="C4" s="26" t="s">
        <v>59</v>
      </c>
      <c r="D4" s="27">
        <v>20</v>
      </c>
      <c r="E4" s="24"/>
      <c r="F4" s="26" t="s">
        <v>59</v>
      </c>
      <c r="G4" s="26" t="s">
        <v>266</v>
      </c>
      <c r="H4" s="27">
        <v>20</v>
      </c>
      <c r="I4" s="21"/>
      <c r="J4" s="55"/>
      <c r="K4" s="55"/>
      <c r="L4" s="55"/>
      <c r="M4" s="55"/>
      <c r="N4" s="55"/>
      <c r="O4" s="21"/>
      <c r="P4" s="21"/>
      <c r="Q4" s="21"/>
      <c r="R4" s="21"/>
      <c r="S4" s="21"/>
      <c r="T4" s="21"/>
      <c r="U4" s="21"/>
      <c r="V4" s="21"/>
      <c r="W4" s="21"/>
      <c r="X4" s="21"/>
      <c r="Y4" s="21"/>
      <c r="Z4" s="54" t="s">
        <v>59</v>
      </c>
      <c r="AA4" s="21"/>
      <c r="AB4" s="54" t="s">
        <v>269</v>
      </c>
      <c r="AC4" s="21"/>
      <c r="AD4" s="54" t="s">
        <v>270</v>
      </c>
      <c r="AE4" s="21"/>
      <c r="AF4" s="54" t="s">
        <v>271</v>
      </c>
      <c r="AG4" s="21"/>
      <c r="AH4" s="54" t="s">
        <v>272</v>
      </c>
    </row>
    <row r="5" spans="1:34" s="84" customFormat="1" ht="15" customHeight="1" x14ac:dyDescent="0.25">
      <c r="A5" s="2" t="s">
        <v>227</v>
      </c>
      <c r="B5" s="21"/>
      <c r="C5" s="26" t="s">
        <v>60</v>
      </c>
      <c r="D5" s="27">
        <v>60</v>
      </c>
      <c r="E5" s="24"/>
      <c r="F5" s="26" t="s">
        <v>60</v>
      </c>
      <c r="G5" s="26" t="s">
        <v>267</v>
      </c>
      <c r="H5" s="27">
        <v>60</v>
      </c>
      <c r="I5" s="21"/>
      <c r="J5" s="55"/>
      <c r="K5" s="56"/>
      <c r="L5" s="55"/>
      <c r="M5" s="55"/>
      <c r="N5" s="55"/>
      <c r="O5" s="21"/>
      <c r="P5" s="21"/>
      <c r="Q5" s="21"/>
      <c r="R5" s="21"/>
      <c r="S5" s="21"/>
      <c r="T5" s="21"/>
      <c r="U5" s="21"/>
      <c r="V5" s="21"/>
      <c r="W5" s="21"/>
      <c r="X5" s="21"/>
      <c r="Y5" s="21"/>
      <c r="Z5" s="54" t="s">
        <v>60</v>
      </c>
      <c r="AA5" s="21"/>
      <c r="AB5" s="21"/>
      <c r="AC5" s="21"/>
      <c r="AD5" s="21"/>
      <c r="AE5" s="21"/>
      <c r="AF5" s="21"/>
      <c r="AG5" s="21"/>
      <c r="AH5" s="21"/>
    </row>
    <row r="6" spans="1:34" s="84" customFormat="1" ht="15" customHeight="1" x14ac:dyDescent="0.2">
      <c r="A6" s="2" t="s">
        <v>228</v>
      </c>
      <c r="B6" s="21"/>
      <c r="C6" s="26" t="s">
        <v>61</v>
      </c>
      <c r="D6" s="27">
        <v>40</v>
      </c>
      <c r="E6" s="24"/>
      <c r="F6" s="26" t="s">
        <v>61</v>
      </c>
      <c r="G6" s="26" t="s">
        <v>268</v>
      </c>
      <c r="H6" s="27">
        <v>40</v>
      </c>
      <c r="I6" s="21"/>
      <c r="J6" s="21"/>
      <c r="K6" s="21"/>
      <c r="L6" s="21"/>
      <c r="M6" s="21"/>
      <c r="N6" s="55"/>
      <c r="O6" s="21"/>
      <c r="P6" s="21"/>
      <c r="Q6" s="21"/>
      <c r="R6" s="21"/>
      <c r="S6" s="21"/>
      <c r="T6" s="21"/>
      <c r="U6" s="21"/>
      <c r="V6" s="21"/>
      <c r="W6" s="21"/>
      <c r="X6" s="21"/>
      <c r="Y6" s="21"/>
      <c r="Z6" s="54" t="s">
        <v>61</v>
      </c>
      <c r="AA6" s="21"/>
      <c r="AB6" s="21"/>
      <c r="AC6" s="21"/>
      <c r="AD6" s="21"/>
      <c r="AE6" s="21"/>
      <c r="AF6" s="21"/>
      <c r="AG6" s="21"/>
      <c r="AH6" s="21"/>
    </row>
    <row r="7" spans="1:34" s="84" customFormat="1" ht="15" customHeight="1" x14ac:dyDescent="0.2">
      <c r="A7" s="2" t="s">
        <v>229</v>
      </c>
      <c r="B7" s="21"/>
      <c r="C7" s="26" t="s">
        <v>58</v>
      </c>
      <c r="D7" s="27">
        <v>50</v>
      </c>
      <c r="E7" s="24"/>
      <c r="F7" s="26" t="s">
        <v>58</v>
      </c>
      <c r="G7" s="26" t="s">
        <v>269</v>
      </c>
      <c r="H7" s="27">
        <v>50</v>
      </c>
      <c r="I7" s="21"/>
      <c r="J7" s="21"/>
      <c r="K7" s="21"/>
      <c r="L7" s="21"/>
      <c r="M7" s="21"/>
      <c r="N7" s="55"/>
      <c r="O7" s="21"/>
      <c r="P7" s="21"/>
      <c r="Q7" s="21"/>
      <c r="R7" s="21"/>
      <c r="S7" s="21"/>
      <c r="T7" s="21"/>
      <c r="U7" s="21"/>
      <c r="V7" s="21"/>
      <c r="W7" s="21"/>
      <c r="X7" s="21"/>
      <c r="Y7" s="21"/>
      <c r="Z7" s="21"/>
      <c r="AA7" s="21"/>
      <c r="AB7" s="21"/>
      <c r="AC7" s="21"/>
      <c r="AD7" s="21"/>
      <c r="AE7" s="21"/>
      <c r="AF7" s="21"/>
      <c r="AG7" s="21"/>
      <c r="AH7" s="21"/>
    </row>
    <row r="8" spans="1:34" s="84" customFormat="1" ht="15" customHeight="1" x14ac:dyDescent="0.2">
      <c r="A8" s="2" t="s">
        <v>230</v>
      </c>
      <c r="B8" s="21"/>
      <c r="C8" s="26" t="s">
        <v>59</v>
      </c>
      <c r="D8" s="27">
        <v>20</v>
      </c>
      <c r="E8" s="24"/>
      <c r="F8" s="26" t="s">
        <v>59</v>
      </c>
      <c r="G8" s="26" t="s">
        <v>270</v>
      </c>
      <c r="H8" s="27">
        <v>20</v>
      </c>
      <c r="I8" s="21"/>
      <c r="J8" s="21"/>
      <c r="K8" s="21"/>
      <c r="L8" s="21"/>
      <c r="M8" s="21"/>
      <c r="N8" s="55"/>
      <c r="O8" s="21"/>
      <c r="P8" s="21"/>
      <c r="Q8" s="21"/>
      <c r="R8" s="21"/>
      <c r="S8" s="21"/>
      <c r="T8" s="21"/>
      <c r="U8" s="21"/>
      <c r="V8" s="21"/>
      <c r="W8" s="21"/>
      <c r="X8" s="21"/>
      <c r="Y8" s="21"/>
      <c r="Z8" s="21"/>
      <c r="AA8" s="21"/>
      <c r="AB8" s="21"/>
      <c r="AC8" s="21"/>
      <c r="AD8" s="21"/>
      <c r="AE8" s="21"/>
      <c r="AF8" s="21"/>
      <c r="AG8" s="21"/>
      <c r="AH8" s="21"/>
    </row>
    <row r="9" spans="1:34" s="84" customFormat="1" ht="15" customHeight="1" x14ac:dyDescent="0.2">
      <c r="A9" s="2" t="s">
        <v>231</v>
      </c>
      <c r="B9" s="21"/>
      <c r="C9" s="26" t="s">
        <v>60</v>
      </c>
      <c r="D9" s="27">
        <v>60</v>
      </c>
      <c r="E9" s="24"/>
      <c r="F9" s="26" t="s">
        <v>60</v>
      </c>
      <c r="G9" s="26" t="s">
        <v>271</v>
      </c>
      <c r="H9" s="27">
        <v>60</v>
      </c>
      <c r="I9" s="21"/>
      <c r="J9" s="21"/>
      <c r="K9" s="21"/>
      <c r="L9" s="21"/>
      <c r="M9" s="21"/>
      <c r="N9" s="55"/>
      <c r="O9" s="21"/>
      <c r="P9" s="21"/>
      <c r="Q9" s="21"/>
      <c r="R9" s="21"/>
      <c r="S9" s="21"/>
      <c r="T9" s="21"/>
      <c r="U9" s="21"/>
      <c r="V9" s="21"/>
      <c r="W9" s="21"/>
      <c r="X9" s="21"/>
      <c r="Y9" s="21"/>
      <c r="Z9" s="21"/>
      <c r="AA9" s="21"/>
      <c r="AB9" s="21"/>
      <c r="AC9" s="21"/>
      <c r="AD9" s="21"/>
      <c r="AE9" s="21"/>
      <c r="AF9" s="21"/>
      <c r="AG9" s="21"/>
      <c r="AH9" s="21"/>
    </row>
    <row r="10" spans="1:34" s="84" customFormat="1" ht="15" customHeight="1" x14ac:dyDescent="0.2">
      <c r="A10" s="2" t="s">
        <v>232</v>
      </c>
      <c r="B10" s="21"/>
      <c r="C10" s="26" t="s">
        <v>61</v>
      </c>
      <c r="D10" s="27">
        <v>40</v>
      </c>
      <c r="E10" s="24"/>
      <c r="F10" s="26" t="s">
        <v>61</v>
      </c>
      <c r="G10" s="26" t="s">
        <v>272</v>
      </c>
      <c r="H10" s="27">
        <v>40</v>
      </c>
      <c r="I10" s="21"/>
      <c r="J10" s="55"/>
      <c r="K10" s="55"/>
      <c r="L10" s="55"/>
      <c r="M10" s="55"/>
      <c r="N10" s="55"/>
      <c r="O10" s="21"/>
      <c r="P10" s="21"/>
      <c r="Q10" s="21"/>
      <c r="R10" s="21"/>
      <c r="S10" s="21"/>
      <c r="T10" s="21"/>
      <c r="U10" s="21"/>
      <c r="V10" s="21"/>
      <c r="W10" s="21"/>
      <c r="X10" s="21"/>
      <c r="Y10" s="21"/>
      <c r="Z10" s="21"/>
      <c r="AA10" s="21"/>
      <c r="AB10" s="21"/>
      <c r="AC10" s="21"/>
      <c r="AD10" s="21"/>
      <c r="AE10" s="21"/>
      <c r="AF10" s="21"/>
      <c r="AG10" s="21"/>
      <c r="AH10" s="21"/>
    </row>
    <row r="11" spans="1:34" s="84" customFormat="1" ht="15" customHeight="1" x14ac:dyDescent="0.2">
      <c r="A11" s="2" t="s">
        <v>233</v>
      </c>
      <c r="B11" s="21"/>
      <c r="C11" s="26" t="s">
        <v>58</v>
      </c>
      <c r="D11" s="27">
        <v>50</v>
      </c>
      <c r="E11" s="24"/>
      <c r="F11" s="26" t="s">
        <v>58</v>
      </c>
      <c r="G11" s="26" t="s">
        <v>269</v>
      </c>
      <c r="H11" s="27">
        <v>50</v>
      </c>
      <c r="I11" s="21"/>
      <c r="J11" s="57"/>
      <c r="K11" s="28"/>
      <c r="L11" s="55"/>
      <c r="M11" s="55"/>
      <c r="N11" s="55"/>
      <c r="O11" s="21"/>
      <c r="P11" s="21"/>
      <c r="Q11" s="21"/>
      <c r="R11" s="21"/>
      <c r="S11" s="21"/>
      <c r="T11" s="21"/>
      <c r="U11" s="21"/>
      <c r="V11" s="21"/>
      <c r="W11" s="21"/>
      <c r="X11" s="21"/>
      <c r="Y11" s="21"/>
      <c r="Z11" s="21"/>
      <c r="AA11" s="21"/>
      <c r="AB11" s="21"/>
      <c r="AC11" s="21"/>
      <c r="AD11" s="21"/>
      <c r="AE11" s="21"/>
      <c r="AF11" s="21"/>
      <c r="AG11" s="21"/>
      <c r="AH11" s="21"/>
    </row>
    <row r="12" spans="1:34" s="84" customFormat="1" ht="15" customHeight="1" x14ac:dyDescent="0.2">
      <c r="A12" s="2" t="s">
        <v>234</v>
      </c>
      <c r="B12" s="21"/>
      <c r="C12" s="26" t="s">
        <v>59</v>
      </c>
      <c r="D12" s="27">
        <v>20</v>
      </c>
      <c r="E12" s="24"/>
      <c r="F12" s="26" t="s">
        <v>59</v>
      </c>
      <c r="G12" s="26" t="s">
        <v>270</v>
      </c>
      <c r="H12" s="27">
        <v>20</v>
      </c>
      <c r="I12" s="21"/>
      <c r="J12" s="57"/>
      <c r="K12" s="58"/>
      <c r="L12" s="55"/>
      <c r="M12" s="55"/>
      <c r="N12" s="55"/>
      <c r="O12" s="21"/>
      <c r="P12" s="21"/>
      <c r="Q12" s="21"/>
      <c r="R12" s="21"/>
      <c r="S12" s="21"/>
      <c r="T12" s="21"/>
      <c r="U12" s="21"/>
      <c r="V12" s="21"/>
      <c r="W12" s="21"/>
      <c r="X12" s="21"/>
      <c r="Y12" s="21"/>
      <c r="Z12" s="21"/>
      <c r="AA12" s="21"/>
      <c r="AB12" s="21"/>
      <c r="AC12" s="21"/>
      <c r="AD12" s="21"/>
      <c r="AE12" s="21"/>
      <c r="AF12" s="21"/>
      <c r="AG12" s="21"/>
      <c r="AH12" s="21"/>
    </row>
    <row r="13" spans="1:34" s="84" customFormat="1" ht="15" customHeight="1" x14ac:dyDescent="0.2">
      <c r="A13" s="4" t="s">
        <v>235</v>
      </c>
      <c r="B13" s="21"/>
      <c r="C13" s="26" t="s">
        <v>60</v>
      </c>
      <c r="D13" s="27">
        <v>60</v>
      </c>
      <c r="E13" s="24"/>
      <c r="F13" s="26" t="s">
        <v>60</v>
      </c>
      <c r="G13" s="26" t="s">
        <v>267</v>
      </c>
      <c r="H13" s="27">
        <v>60</v>
      </c>
      <c r="I13" s="21"/>
      <c r="J13" s="57"/>
      <c r="K13" s="58"/>
      <c r="L13" s="55"/>
      <c r="M13" s="55"/>
      <c r="N13" s="55"/>
      <c r="O13" s="21"/>
      <c r="P13" s="21"/>
      <c r="Q13" s="21"/>
      <c r="R13" s="21"/>
      <c r="S13" s="21"/>
      <c r="T13" s="21"/>
      <c r="U13" s="21"/>
      <c r="V13" s="21"/>
      <c r="W13" s="21"/>
      <c r="X13" s="21"/>
      <c r="Y13" s="21"/>
      <c r="Z13" s="21"/>
      <c r="AA13" s="21"/>
      <c r="AB13" s="21"/>
      <c r="AC13" s="21"/>
      <c r="AD13" s="21"/>
      <c r="AE13" s="21"/>
      <c r="AF13" s="21"/>
      <c r="AG13" s="21"/>
      <c r="AH13" s="21"/>
    </row>
    <row r="14" spans="1:34" s="84" customFormat="1" ht="15" customHeight="1" x14ac:dyDescent="0.2">
      <c r="A14" s="59" t="s">
        <v>236</v>
      </c>
      <c r="B14" s="21"/>
      <c r="C14" s="26" t="s">
        <v>61</v>
      </c>
      <c r="D14" s="27">
        <v>40</v>
      </c>
      <c r="E14" s="24"/>
      <c r="F14" s="26" t="s">
        <v>61</v>
      </c>
      <c r="G14" s="26" t="s">
        <v>272</v>
      </c>
      <c r="H14" s="27">
        <v>40</v>
      </c>
      <c r="I14" s="21"/>
      <c r="J14" s="57"/>
      <c r="K14" s="60"/>
      <c r="L14" s="55"/>
      <c r="M14" s="55"/>
      <c r="N14" s="55"/>
      <c r="O14" s="21"/>
      <c r="P14" s="21"/>
      <c r="Q14" s="21"/>
      <c r="R14" s="21"/>
      <c r="S14" s="21"/>
      <c r="T14" s="21"/>
      <c r="U14" s="21"/>
      <c r="V14" s="21"/>
      <c r="W14" s="21"/>
      <c r="X14" s="21"/>
      <c r="Y14" s="21"/>
      <c r="Z14" s="21"/>
      <c r="AA14" s="21"/>
      <c r="AB14" s="21"/>
      <c r="AC14" s="21"/>
      <c r="AD14" s="21"/>
      <c r="AE14" s="21"/>
      <c r="AF14" s="21"/>
      <c r="AG14" s="21"/>
      <c r="AH14" s="21"/>
    </row>
    <row r="15" spans="1:34" s="84" customFormat="1" ht="15" customHeight="1" x14ac:dyDescent="0.2">
      <c r="A15" s="4" t="s">
        <v>237</v>
      </c>
      <c r="B15" s="21"/>
      <c r="C15" s="78"/>
      <c r="D15" s="78"/>
      <c r="E15" s="78"/>
      <c r="F15" s="78"/>
      <c r="G15" s="78"/>
      <c r="H15" s="78"/>
      <c r="I15" s="21"/>
      <c r="J15" s="57"/>
      <c r="K15" s="61"/>
      <c r="L15" s="55"/>
      <c r="M15" s="55"/>
      <c r="N15" s="55"/>
      <c r="O15" s="21"/>
      <c r="P15" s="21"/>
      <c r="Q15" s="21"/>
      <c r="R15" s="21"/>
      <c r="S15" s="21"/>
      <c r="T15" s="21"/>
      <c r="U15" s="21"/>
      <c r="V15" s="21"/>
      <c r="W15" s="21"/>
      <c r="X15" s="21"/>
      <c r="Y15" s="21"/>
      <c r="Z15" s="21"/>
      <c r="AA15" s="21"/>
      <c r="AB15" s="21"/>
      <c r="AC15" s="21"/>
      <c r="AD15" s="21"/>
      <c r="AE15" s="21"/>
      <c r="AF15" s="21"/>
      <c r="AG15" s="21"/>
      <c r="AH15" s="21"/>
    </row>
    <row r="16" spans="1:34" s="84" customFormat="1" ht="15" customHeight="1" thickBot="1" x14ac:dyDescent="0.25">
      <c r="A16" s="2" t="s">
        <v>11</v>
      </c>
      <c r="B16" s="21"/>
      <c r="C16" s="21" t="s">
        <v>57</v>
      </c>
      <c r="D16" s="50" t="s">
        <v>262</v>
      </c>
      <c r="E16" s="24"/>
      <c r="F16" s="21" t="s">
        <v>57</v>
      </c>
      <c r="G16" s="21" t="s">
        <v>264</v>
      </c>
      <c r="H16" s="50" t="s">
        <v>274</v>
      </c>
      <c r="I16" s="21"/>
      <c r="J16" s="57"/>
      <c r="K16" s="28"/>
      <c r="L16" s="55"/>
      <c r="M16" s="55"/>
      <c r="N16" s="55"/>
      <c r="O16" s="21"/>
      <c r="P16" s="21"/>
      <c r="Q16" s="21"/>
      <c r="R16" s="21"/>
      <c r="S16" s="21"/>
      <c r="T16" s="21"/>
      <c r="U16" s="21"/>
      <c r="V16" s="21"/>
      <c r="W16" s="21"/>
      <c r="X16" s="21"/>
      <c r="Y16" s="21"/>
      <c r="Z16" s="21"/>
      <c r="AA16" s="21"/>
      <c r="AB16" s="21"/>
      <c r="AC16" s="21"/>
      <c r="AD16" s="21"/>
      <c r="AE16" s="21"/>
      <c r="AF16" s="21"/>
      <c r="AG16" s="21"/>
      <c r="AH16" s="21"/>
    </row>
    <row r="17" spans="1:34" s="84" customFormat="1" ht="15" customHeight="1" thickTop="1" thickBot="1" x14ac:dyDescent="0.25">
      <c r="A17" s="2" t="s">
        <v>12</v>
      </c>
      <c r="B17" s="21"/>
      <c r="C17" s="51" t="s">
        <v>58</v>
      </c>
      <c r="D17" s="42"/>
      <c r="E17" s="24"/>
      <c r="F17" s="51" t="s">
        <v>59</v>
      </c>
      <c r="G17" s="51" t="s">
        <v>266</v>
      </c>
      <c r="H17" s="52"/>
      <c r="I17" s="21"/>
      <c r="J17" s="62"/>
      <c r="K17" s="58"/>
      <c r="L17" s="55"/>
      <c r="M17" s="55"/>
      <c r="N17" s="55"/>
      <c r="O17" s="21"/>
      <c r="P17" s="21"/>
      <c r="Q17" s="21"/>
      <c r="R17" s="21"/>
      <c r="S17" s="21"/>
      <c r="T17" s="21"/>
      <c r="U17" s="21"/>
      <c r="V17" s="21"/>
      <c r="W17" s="21"/>
      <c r="X17" s="21"/>
      <c r="Y17" s="21"/>
      <c r="Z17" s="21"/>
      <c r="AA17" s="21"/>
      <c r="AB17" s="21"/>
      <c r="AC17" s="21"/>
      <c r="AD17" s="21"/>
      <c r="AE17" s="21"/>
      <c r="AF17" s="21"/>
      <c r="AG17" s="21"/>
      <c r="AH17" s="21"/>
    </row>
    <row r="18" spans="1:34" s="84" customFormat="1" ht="15" customHeight="1" thickTop="1" x14ac:dyDescent="0.2">
      <c r="A18" s="2" t="s">
        <v>238</v>
      </c>
      <c r="B18" s="21"/>
      <c r="C18" s="21"/>
      <c r="D18" s="21"/>
      <c r="E18" s="24"/>
      <c r="F18" s="21"/>
      <c r="G18" s="21"/>
      <c r="H18" s="21"/>
      <c r="I18" s="21"/>
      <c r="J18" s="57"/>
      <c r="K18" s="60"/>
      <c r="L18" s="55"/>
      <c r="M18" s="55"/>
      <c r="N18" s="55"/>
      <c r="O18" s="21"/>
      <c r="P18" s="21"/>
      <c r="Q18" s="21"/>
      <c r="R18" s="21"/>
      <c r="S18" s="21"/>
      <c r="T18" s="21"/>
      <c r="U18" s="21"/>
      <c r="V18" s="21"/>
      <c r="W18" s="21"/>
      <c r="X18" s="21"/>
      <c r="Y18" s="21"/>
      <c r="Z18" s="21"/>
      <c r="AA18" s="21"/>
      <c r="AB18" s="21"/>
      <c r="AC18" s="21"/>
      <c r="AD18" s="21"/>
      <c r="AE18" s="21"/>
      <c r="AF18" s="21"/>
      <c r="AG18" s="21"/>
      <c r="AH18" s="21"/>
    </row>
    <row r="19" spans="1:34" s="84" customFormat="1" ht="15" customHeight="1" x14ac:dyDescent="0.2">
      <c r="A19" s="2" t="s">
        <v>239</v>
      </c>
      <c r="B19" s="21"/>
      <c r="C19" s="21"/>
      <c r="D19" s="21"/>
      <c r="E19" s="21"/>
      <c r="F19" s="21"/>
      <c r="G19" s="21"/>
      <c r="H19" s="21"/>
      <c r="I19" s="21"/>
      <c r="J19" s="57"/>
      <c r="K19" s="61"/>
      <c r="L19" s="55"/>
      <c r="M19" s="55"/>
      <c r="N19" s="21"/>
      <c r="O19" s="21"/>
      <c r="P19" s="21"/>
      <c r="Q19" s="21"/>
      <c r="R19" s="21"/>
      <c r="S19" s="21"/>
      <c r="T19" s="21"/>
      <c r="U19" s="21"/>
      <c r="V19" s="21"/>
      <c r="W19" s="21"/>
      <c r="X19" s="21"/>
      <c r="Y19" s="21"/>
      <c r="Z19" s="21"/>
      <c r="AA19" s="21"/>
      <c r="AB19" s="21"/>
      <c r="AC19" s="21"/>
      <c r="AD19" s="21"/>
      <c r="AE19" s="21"/>
      <c r="AF19" s="21"/>
      <c r="AG19" s="21"/>
      <c r="AH19" s="21"/>
    </row>
    <row r="20" spans="1:34" s="84" customFormat="1" ht="15" customHeight="1" x14ac:dyDescent="0.2">
      <c r="A20" s="2" t="s">
        <v>240</v>
      </c>
      <c r="B20" s="21"/>
      <c r="C20" s="21"/>
      <c r="D20" s="21"/>
      <c r="E20" s="21"/>
      <c r="F20" s="21"/>
      <c r="G20" s="21"/>
      <c r="H20" s="21"/>
      <c r="I20" s="21"/>
      <c r="J20" s="62"/>
      <c r="K20" s="28"/>
      <c r="L20" s="21"/>
      <c r="M20" s="55"/>
      <c r="N20" s="21"/>
      <c r="O20" s="21"/>
      <c r="P20" s="21"/>
      <c r="Q20" s="21"/>
      <c r="R20" s="21"/>
      <c r="S20" s="21"/>
      <c r="T20" s="21"/>
      <c r="U20" s="21"/>
      <c r="V20" s="21"/>
      <c r="W20" s="21"/>
      <c r="X20" s="21"/>
      <c r="Y20" s="21"/>
      <c r="Z20" s="21"/>
      <c r="AA20" s="21"/>
      <c r="AB20" s="21"/>
      <c r="AC20" s="21"/>
      <c r="AD20" s="21"/>
      <c r="AE20" s="21"/>
      <c r="AF20" s="21"/>
      <c r="AG20" s="21"/>
      <c r="AH20" s="21"/>
    </row>
    <row r="21" spans="1:34" s="84" customFormat="1" ht="15" customHeight="1" x14ac:dyDescent="0.2">
      <c r="A21" s="2" t="s">
        <v>241</v>
      </c>
      <c r="B21" s="21"/>
      <c r="C21" s="21"/>
      <c r="D21" s="21"/>
      <c r="E21" s="21"/>
      <c r="F21" s="21"/>
      <c r="G21" s="21"/>
      <c r="H21" s="21"/>
      <c r="I21" s="21"/>
      <c r="J21" s="62"/>
      <c r="K21" s="58"/>
      <c r="L21" s="21"/>
      <c r="M21" s="55"/>
      <c r="N21" s="21"/>
      <c r="O21" s="21"/>
      <c r="P21" s="21"/>
      <c r="Q21" s="21"/>
      <c r="R21" s="21"/>
      <c r="S21" s="21"/>
      <c r="T21" s="21"/>
      <c r="U21" s="21"/>
      <c r="V21" s="21"/>
      <c r="W21" s="21"/>
      <c r="X21" s="21"/>
      <c r="Y21" s="21"/>
      <c r="Z21" s="21"/>
      <c r="AA21" s="21"/>
      <c r="AB21" s="21"/>
      <c r="AC21" s="21"/>
      <c r="AD21" s="21"/>
      <c r="AE21" s="21"/>
      <c r="AF21" s="21"/>
      <c r="AG21" s="21"/>
      <c r="AH21" s="21"/>
    </row>
    <row r="22" spans="1:34" s="84" customFormat="1" ht="15" customHeight="1" x14ac:dyDescent="0.2">
      <c r="A22" s="2" t="s">
        <v>227</v>
      </c>
      <c r="B22" s="21"/>
      <c r="C22" s="21"/>
      <c r="D22" s="21"/>
      <c r="E22" s="21"/>
      <c r="F22" s="21"/>
      <c r="G22" s="21"/>
      <c r="H22" s="21"/>
      <c r="I22" s="21"/>
      <c r="J22" s="21"/>
      <c r="K22" s="58"/>
      <c r="L22" s="63"/>
      <c r="M22" s="55"/>
      <c r="N22" s="21"/>
      <c r="O22" s="21"/>
      <c r="P22" s="21"/>
      <c r="Q22" s="21"/>
      <c r="R22" s="21"/>
      <c r="S22" s="21"/>
      <c r="T22" s="21"/>
      <c r="U22" s="21"/>
      <c r="V22" s="21"/>
      <c r="W22" s="21"/>
      <c r="X22" s="21"/>
      <c r="Y22" s="21"/>
      <c r="Z22" s="21"/>
      <c r="AA22" s="21"/>
      <c r="AB22" s="21"/>
      <c r="AC22" s="21"/>
      <c r="AD22" s="21"/>
      <c r="AE22" s="21"/>
      <c r="AF22" s="21"/>
      <c r="AG22" s="21"/>
      <c r="AH22" s="21"/>
    </row>
    <row r="23" spans="1:34" s="84" customFormat="1" ht="15" customHeight="1" x14ac:dyDescent="0.2">
      <c r="A23" s="2" t="s">
        <v>228</v>
      </c>
      <c r="B23" s="21"/>
      <c r="C23" s="21"/>
      <c r="D23" s="21"/>
      <c r="E23" s="21"/>
      <c r="F23" s="21"/>
      <c r="G23" s="21"/>
      <c r="H23" s="21"/>
      <c r="I23" s="21"/>
      <c r="J23" s="21"/>
      <c r="K23" s="64"/>
      <c r="L23" s="63"/>
      <c r="M23" s="55"/>
      <c r="N23" s="21"/>
      <c r="O23" s="21"/>
      <c r="P23" s="21"/>
      <c r="Q23" s="21"/>
      <c r="R23" s="21"/>
      <c r="S23" s="21"/>
      <c r="T23" s="21"/>
      <c r="U23" s="21"/>
      <c r="V23" s="21"/>
      <c r="W23" s="21"/>
      <c r="X23" s="21"/>
      <c r="Y23" s="21"/>
      <c r="Z23" s="21"/>
      <c r="AA23" s="21"/>
      <c r="AB23" s="21"/>
      <c r="AC23" s="21"/>
      <c r="AD23" s="21"/>
      <c r="AE23" s="21"/>
      <c r="AF23" s="21"/>
      <c r="AG23" s="21"/>
      <c r="AH23" s="21"/>
    </row>
    <row r="24" spans="1:34" s="84" customFormat="1" ht="15" customHeight="1" x14ac:dyDescent="0.2">
      <c r="A24" s="4" t="s">
        <v>242</v>
      </c>
      <c r="B24" s="21"/>
      <c r="C24" s="21"/>
      <c r="D24" s="21"/>
      <c r="E24" s="21"/>
      <c r="F24" s="21"/>
      <c r="G24" s="21"/>
      <c r="H24" s="21"/>
      <c r="I24" s="21"/>
      <c r="J24" s="21"/>
      <c r="K24" s="21"/>
      <c r="L24" s="63"/>
      <c r="M24" s="55"/>
      <c r="N24" s="21"/>
      <c r="O24" s="21"/>
      <c r="P24" s="21"/>
      <c r="Q24" s="21"/>
      <c r="R24" s="21"/>
      <c r="S24" s="21"/>
      <c r="T24" s="21"/>
      <c r="U24" s="21"/>
      <c r="V24" s="21"/>
      <c r="W24" s="21"/>
      <c r="X24" s="21"/>
      <c r="Y24" s="21"/>
      <c r="Z24" s="21"/>
      <c r="AA24" s="21"/>
      <c r="AB24" s="21"/>
      <c r="AC24" s="21"/>
      <c r="AD24" s="21"/>
      <c r="AE24" s="21"/>
      <c r="AF24" s="21"/>
      <c r="AG24" s="21"/>
      <c r="AH24" s="21"/>
    </row>
    <row r="25" spans="1:34" s="84" customFormat="1" ht="15" customHeight="1" x14ac:dyDescent="0.2">
      <c r="A25" s="2" t="s">
        <v>243</v>
      </c>
      <c r="B25" s="21"/>
      <c r="C25" s="21"/>
      <c r="D25" s="21"/>
      <c r="E25" s="21"/>
      <c r="F25" s="21"/>
      <c r="G25" s="21"/>
      <c r="H25" s="21"/>
      <c r="I25" s="21"/>
      <c r="J25" s="21"/>
      <c r="K25" s="21"/>
      <c r="L25" s="63"/>
      <c r="M25" s="55"/>
      <c r="N25" s="21"/>
      <c r="O25" s="21"/>
      <c r="P25" s="21"/>
      <c r="Q25" s="21"/>
      <c r="R25" s="21"/>
      <c r="S25" s="21"/>
      <c r="T25" s="21"/>
      <c r="U25" s="21"/>
      <c r="V25" s="21"/>
      <c r="W25" s="21"/>
      <c r="X25" s="21"/>
      <c r="Y25" s="21"/>
      <c r="Z25" s="21"/>
      <c r="AA25" s="21"/>
      <c r="AB25" s="21"/>
      <c r="AC25" s="21"/>
      <c r="AD25" s="21"/>
      <c r="AE25" s="21"/>
      <c r="AF25" s="21"/>
      <c r="AG25" s="21"/>
      <c r="AH25" s="21"/>
    </row>
    <row r="26" spans="1:34" s="84" customFormat="1" ht="15" customHeight="1" x14ac:dyDescent="0.2">
      <c r="A26" s="2" t="s">
        <v>244</v>
      </c>
      <c r="B26" s="21"/>
      <c r="C26" s="21"/>
      <c r="D26" s="21"/>
      <c r="E26" s="21"/>
      <c r="F26" s="21"/>
      <c r="G26" s="21"/>
      <c r="H26" s="21"/>
      <c r="I26" s="21"/>
      <c r="J26" s="21"/>
      <c r="K26" s="21"/>
      <c r="L26" s="63"/>
      <c r="M26" s="55"/>
      <c r="N26" s="21"/>
      <c r="O26" s="21"/>
      <c r="P26" s="21"/>
      <c r="Q26" s="21"/>
      <c r="R26" s="21"/>
      <c r="S26" s="21"/>
      <c r="T26" s="21"/>
      <c r="U26" s="21"/>
      <c r="V26" s="21"/>
      <c r="W26" s="21"/>
      <c r="X26" s="21"/>
      <c r="Y26" s="21"/>
      <c r="Z26" s="21"/>
      <c r="AA26" s="21"/>
      <c r="AB26" s="21"/>
      <c r="AC26" s="21"/>
      <c r="AD26" s="21"/>
      <c r="AE26" s="21"/>
      <c r="AF26" s="21"/>
      <c r="AG26" s="21"/>
      <c r="AH26" s="21"/>
    </row>
    <row r="27" spans="1:34" s="84" customFormat="1" ht="15" customHeight="1" x14ac:dyDescent="0.2">
      <c r="A27" s="2" t="s">
        <v>234</v>
      </c>
      <c r="B27" s="21"/>
      <c r="C27" s="21"/>
      <c r="D27" s="21"/>
      <c r="E27" s="21"/>
      <c r="F27" s="21"/>
      <c r="G27" s="21"/>
      <c r="H27" s="21"/>
      <c r="I27" s="21"/>
      <c r="J27" s="21"/>
      <c r="K27" s="21"/>
      <c r="L27" s="63"/>
      <c r="M27" s="55"/>
      <c r="N27" s="21"/>
      <c r="O27" s="21"/>
      <c r="P27" s="21"/>
      <c r="Q27" s="21"/>
      <c r="R27" s="21"/>
      <c r="S27" s="21"/>
      <c r="T27" s="21"/>
      <c r="U27" s="21"/>
      <c r="V27" s="21"/>
      <c r="W27" s="21"/>
      <c r="X27" s="21"/>
      <c r="Y27" s="21"/>
      <c r="Z27" s="21"/>
      <c r="AA27" s="21"/>
      <c r="AB27" s="21"/>
      <c r="AC27" s="21"/>
      <c r="AD27" s="21"/>
      <c r="AE27" s="21"/>
      <c r="AF27" s="21"/>
      <c r="AG27" s="21"/>
      <c r="AH27" s="21"/>
    </row>
    <row r="28" spans="1:34" s="84" customFormat="1" ht="15" customHeight="1" x14ac:dyDescent="0.2">
      <c r="A28" s="2" t="s">
        <v>245</v>
      </c>
      <c r="B28" s="21"/>
      <c r="C28" s="21"/>
      <c r="D28" s="21"/>
      <c r="E28" s="21"/>
      <c r="F28" s="21"/>
      <c r="G28" s="21"/>
      <c r="H28" s="21"/>
      <c r="I28" s="21"/>
      <c r="J28" s="21"/>
      <c r="K28" s="21"/>
      <c r="L28" s="63"/>
      <c r="M28" s="21"/>
      <c r="N28" s="21"/>
      <c r="O28" s="21"/>
      <c r="P28" s="21"/>
      <c r="Q28" s="21"/>
      <c r="R28" s="21"/>
      <c r="S28" s="21"/>
      <c r="T28" s="21"/>
      <c r="U28" s="21"/>
      <c r="V28" s="21"/>
      <c r="W28" s="21"/>
      <c r="X28" s="21"/>
      <c r="Y28" s="21"/>
      <c r="Z28" s="21"/>
      <c r="AA28" s="21"/>
      <c r="AB28" s="21"/>
      <c r="AC28" s="21"/>
      <c r="AD28" s="21"/>
      <c r="AE28" s="21"/>
      <c r="AF28" s="21"/>
      <c r="AG28" s="21"/>
      <c r="AH28" s="21"/>
    </row>
    <row r="29" spans="1:34" s="84" customFormat="1" ht="15" customHeight="1" x14ac:dyDescent="0.2">
      <c r="A29" s="2" t="s">
        <v>236</v>
      </c>
      <c r="B29" s="21"/>
      <c r="C29" s="21"/>
      <c r="D29" s="21"/>
      <c r="E29" s="21"/>
      <c r="F29" s="21"/>
      <c r="G29" s="21"/>
      <c r="H29" s="21"/>
      <c r="I29" s="21"/>
      <c r="J29" s="21"/>
      <c r="K29" s="21"/>
      <c r="L29" s="63"/>
      <c r="M29" s="21"/>
      <c r="N29" s="21"/>
      <c r="O29" s="21"/>
      <c r="P29" s="21"/>
      <c r="Q29" s="21"/>
      <c r="R29" s="21"/>
      <c r="S29" s="21"/>
      <c r="T29" s="21"/>
      <c r="U29" s="21"/>
      <c r="V29" s="21"/>
      <c r="W29" s="21"/>
      <c r="X29" s="21"/>
      <c r="Y29" s="21"/>
      <c r="Z29" s="21"/>
      <c r="AA29" s="21"/>
      <c r="AB29" s="21"/>
      <c r="AC29" s="21"/>
      <c r="AD29" s="21"/>
      <c r="AE29" s="21"/>
      <c r="AF29" s="21"/>
      <c r="AG29" s="21"/>
      <c r="AH29" s="21"/>
    </row>
    <row r="30" spans="1:34" s="84" customFormat="1" ht="15" customHeight="1" x14ac:dyDescent="0.2">
      <c r="A30" s="2" t="s">
        <v>11</v>
      </c>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row>
    <row r="31" spans="1:34" s="84" customFormat="1" ht="15" customHeight="1" x14ac:dyDescent="0.2">
      <c r="A31" s="2" t="s">
        <v>25</v>
      </c>
      <c r="B31" s="21"/>
      <c r="C31" s="21"/>
      <c r="D31" s="21"/>
      <c r="E31" s="21"/>
      <c r="F31" s="21"/>
      <c r="G31" s="21"/>
      <c r="H31" s="21"/>
      <c r="I31" s="21"/>
      <c r="J31" s="21"/>
      <c r="K31" s="21"/>
      <c r="L31" s="21"/>
      <c r="M31" s="21"/>
      <c r="N31" s="55"/>
      <c r="O31" s="21"/>
      <c r="P31" s="21"/>
      <c r="Q31" s="21"/>
      <c r="R31" s="21"/>
      <c r="S31" s="21"/>
      <c r="T31" s="21"/>
      <c r="U31" s="21"/>
      <c r="V31" s="21"/>
      <c r="W31" s="21"/>
      <c r="X31" s="21"/>
      <c r="Y31" s="21"/>
      <c r="Z31" s="21"/>
      <c r="AA31" s="21"/>
      <c r="AB31" s="21"/>
      <c r="AC31" s="21"/>
      <c r="AD31" s="21"/>
      <c r="AE31" s="21"/>
      <c r="AF31" s="21"/>
      <c r="AG31" s="21"/>
      <c r="AH31" s="21"/>
    </row>
    <row r="32" spans="1:34" s="84" customFormat="1" ht="15" customHeight="1" x14ac:dyDescent="0.2">
      <c r="A32" s="46" t="s">
        <v>246</v>
      </c>
      <c r="B32" s="21"/>
      <c r="C32" s="21"/>
      <c r="D32" s="21"/>
      <c r="E32" s="21"/>
      <c r="F32" s="21"/>
      <c r="G32" s="21"/>
      <c r="H32" s="21"/>
      <c r="I32" s="21"/>
      <c r="J32" s="21"/>
      <c r="K32" s="21"/>
      <c r="L32" s="21"/>
      <c r="M32" s="21"/>
      <c r="N32" s="55"/>
      <c r="O32" s="21"/>
      <c r="P32" s="21"/>
      <c r="Q32" s="21"/>
      <c r="R32" s="21"/>
      <c r="S32" s="21"/>
      <c r="T32" s="21"/>
      <c r="U32" s="21"/>
      <c r="V32" s="21"/>
      <c r="W32" s="21"/>
      <c r="X32" s="21"/>
      <c r="Y32" s="21"/>
      <c r="Z32" s="21"/>
      <c r="AA32" s="21"/>
      <c r="AB32" s="21"/>
      <c r="AC32" s="21"/>
      <c r="AD32" s="21"/>
      <c r="AE32" s="21"/>
      <c r="AF32" s="21"/>
      <c r="AG32" s="21"/>
      <c r="AH32" s="21"/>
    </row>
    <row r="33" spans="1:34" s="84" customFormat="1" ht="15" customHeight="1" x14ac:dyDescent="0.2">
      <c r="A33" s="47" t="s">
        <v>247</v>
      </c>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row>
    <row r="34" spans="1:34" s="84" customFormat="1" ht="15" customHeight="1" x14ac:dyDescent="0.2">
      <c r="A34" s="46" t="s">
        <v>11</v>
      </c>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row>
    <row r="35" spans="1:34" s="84" customFormat="1" ht="15" customHeight="1" x14ac:dyDescent="0.2">
      <c r="A35" s="46" t="s">
        <v>25</v>
      </c>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row>
    <row r="36" spans="1:34" x14ac:dyDescent="0.2">
      <c r="A36" s="7" t="s">
        <v>248</v>
      </c>
      <c r="B36" s="7"/>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row>
    <row r="37" spans="1:34" x14ac:dyDescent="0.2">
      <c r="A37" s="7" t="s">
        <v>249</v>
      </c>
      <c r="B37" s="7"/>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row>
    <row r="38" spans="1:34" x14ac:dyDescent="0.2">
      <c r="A38" s="7">
        <f>SUMIF(D118:D122,"&gt;=50")</f>
        <v>200</v>
      </c>
      <c r="B38" s="7"/>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row>
    <row r="39" spans="1:34" x14ac:dyDescent="0.2">
      <c r="A39" s="7" t="s">
        <v>250</v>
      </c>
      <c r="B39" s="7"/>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row>
    <row r="40" spans="1:34" x14ac:dyDescent="0.2">
      <c r="A40" s="7" t="s">
        <v>251</v>
      </c>
      <c r="B40" s="7"/>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row>
    <row r="41" spans="1:34" x14ac:dyDescent="0.2">
      <c r="A41" s="7" t="s">
        <v>252</v>
      </c>
      <c r="B41" s="7"/>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row>
    <row r="42" spans="1:34" x14ac:dyDescent="0.2">
      <c r="A42" s="7" t="s">
        <v>253</v>
      </c>
      <c r="B42" s="7"/>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row>
    <row r="43" spans="1:34" x14ac:dyDescent="0.2">
      <c r="A43" s="7" t="s">
        <v>26</v>
      </c>
      <c r="B43" s="7"/>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row>
    <row r="44" spans="1:34" x14ac:dyDescent="0.2">
      <c r="A44" s="7" t="s">
        <v>102</v>
      </c>
      <c r="B44" s="7"/>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row>
    <row r="45" spans="1:34" x14ac:dyDescent="0.2">
      <c r="A45" s="7" t="s">
        <v>254</v>
      </c>
      <c r="B45" s="7"/>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row>
    <row r="46" spans="1:34" x14ac:dyDescent="0.2">
      <c r="A46" s="7" t="s">
        <v>255</v>
      </c>
      <c r="B46" s="7"/>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row>
    <row r="47" spans="1:34" x14ac:dyDescent="0.2">
      <c r="A47" s="7" t="s">
        <v>256</v>
      </c>
      <c r="B47" s="7"/>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row>
    <row r="48" spans="1:34" x14ac:dyDescent="0.2">
      <c r="A48" s="7" t="s">
        <v>257</v>
      </c>
      <c r="B48" s="7"/>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row>
    <row r="49" spans="1:34" x14ac:dyDescent="0.2">
      <c r="A49" s="7" t="s">
        <v>258</v>
      </c>
      <c r="B49" s="7"/>
      <c r="C49" s="12" t="s">
        <v>57</v>
      </c>
      <c r="D49" s="13" t="s">
        <v>73</v>
      </c>
      <c r="E49" s="24"/>
      <c r="F49" s="12" t="s">
        <v>57</v>
      </c>
      <c r="G49" s="12" t="s">
        <v>264</v>
      </c>
      <c r="H49" s="13" t="s">
        <v>73</v>
      </c>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row>
    <row r="50" spans="1:34" x14ac:dyDescent="0.2">
      <c r="A50" s="7" t="s">
        <v>259</v>
      </c>
      <c r="B50" s="7"/>
      <c r="C50" s="54" t="s">
        <v>58</v>
      </c>
      <c r="D50" s="65">
        <v>50</v>
      </c>
      <c r="E50" s="24"/>
      <c r="F50" s="54" t="s">
        <v>58</v>
      </c>
      <c r="G50" s="54" t="s">
        <v>265</v>
      </c>
      <c r="H50" s="65">
        <v>50</v>
      </c>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row>
    <row r="51" spans="1:34" x14ac:dyDescent="0.2">
      <c r="A51" s="7" t="s">
        <v>260</v>
      </c>
      <c r="B51" s="7"/>
      <c r="C51" s="54" t="s">
        <v>59</v>
      </c>
      <c r="D51" s="65">
        <v>20</v>
      </c>
      <c r="E51" s="24"/>
      <c r="F51" s="54" t="s">
        <v>59</v>
      </c>
      <c r="G51" s="54" t="s">
        <v>266</v>
      </c>
      <c r="H51" s="65">
        <v>20</v>
      </c>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row>
    <row r="52" spans="1:34" x14ac:dyDescent="0.2">
      <c r="A52" s="7" t="s">
        <v>261</v>
      </c>
      <c r="B52" s="7"/>
      <c r="C52" s="54" t="s">
        <v>60</v>
      </c>
      <c r="D52" s="65">
        <v>60</v>
      </c>
      <c r="E52" s="24"/>
      <c r="F52" s="54" t="s">
        <v>60</v>
      </c>
      <c r="G52" s="54" t="s">
        <v>267</v>
      </c>
      <c r="H52" s="65">
        <v>60</v>
      </c>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row>
    <row r="53" spans="1:34" x14ac:dyDescent="0.2">
      <c r="A53" s="7" t="s">
        <v>31</v>
      </c>
      <c r="B53" s="7"/>
      <c r="C53" s="54" t="s">
        <v>61</v>
      </c>
      <c r="D53" s="65">
        <v>40</v>
      </c>
      <c r="E53" s="24"/>
      <c r="F53" s="54" t="s">
        <v>61</v>
      </c>
      <c r="G53" s="54" t="s">
        <v>268</v>
      </c>
      <c r="H53" s="65">
        <v>40</v>
      </c>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row>
    <row r="54" spans="1:34" x14ac:dyDescent="0.2">
      <c r="A54" s="7" t="s">
        <v>55</v>
      </c>
      <c r="B54" s="7"/>
      <c r="C54" s="54" t="s">
        <v>58</v>
      </c>
      <c r="D54" s="65">
        <v>50</v>
      </c>
      <c r="E54" s="24"/>
      <c r="F54" s="54" t="s">
        <v>58</v>
      </c>
      <c r="G54" s="54" t="s">
        <v>269</v>
      </c>
      <c r="H54" s="65">
        <v>50</v>
      </c>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row>
    <row r="55" spans="1:34" x14ac:dyDescent="0.2">
      <c r="A55" s="7" t="s">
        <v>25</v>
      </c>
      <c r="B55" s="7"/>
      <c r="C55" s="54" t="s">
        <v>59</v>
      </c>
      <c r="D55" s="65">
        <v>20</v>
      </c>
      <c r="E55" s="24"/>
      <c r="F55" s="54" t="s">
        <v>59</v>
      </c>
      <c r="G55" s="54" t="s">
        <v>270</v>
      </c>
      <c r="H55" s="65">
        <v>20</v>
      </c>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row>
    <row r="56" spans="1:34" x14ac:dyDescent="0.2">
      <c r="A56" s="7"/>
      <c r="B56" s="7"/>
      <c r="C56" s="54" t="s">
        <v>60</v>
      </c>
      <c r="D56" s="65">
        <v>60</v>
      </c>
      <c r="E56" s="24"/>
      <c r="F56" s="54" t="s">
        <v>60</v>
      </c>
      <c r="G56" s="54" t="s">
        <v>271</v>
      </c>
      <c r="H56" s="65">
        <v>60</v>
      </c>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row>
    <row r="57" spans="1:34" x14ac:dyDescent="0.2">
      <c r="A57" s="7"/>
      <c r="B57" s="7"/>
      <c r="C57" s="54" t="s">
        <v>61</v>
      </c>
      <c r="D57" s="65">
        <v>40</v>
      </c>
      <c r="E57" s="24"/>
      <c r="F57" s="54" t="s">
        <v>61</v>
      </c>
      <c r="G57" s="54" t="s">
        <v>272</v>
      </c>
      <c r="H57" s="65">
        <v>40</v>
      </c>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row>
    <row r="58" spans="1:34" x14ac:dyDescent="0.2">
      <c r="A58" s="7"/>
      <c r="B58" s="7"/>
      <c r="C58" s="54" t="s">
        <v>58</v>
      </c>
      <c r="D58" s="65">
        <v>50</v>
      </c>
      <c r="E58" s="24"/>
      <c r="F58" s="54" t="s">
        <v>58</v>
      </c>
      <c r="G58" s="54" t="s">
        <v>269</v>
      </c>
      <c r="H58" s="65">
        <v>50</v>
      </c>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row>
    <row r="59" spans="1:34" x14ac:dyDescent="0.2">
      <c r="A59" s="7"/>
      <c r="B59" s="7"/>
      <c r="C59" s="54" t="s">
        <v>59</v>
      </c>
      <c r="D59" s="65">
        <v>20</v>
      </c>
      <c r="E59" s="24"/>
      <c r="F59" s="54" t="s">
        <v>59</v>
      </c>
      <c r="G59" s="54" t="s">
        <v>270</v>
      </c>
      <c r="H59" s="65">
        <v>20</v>
      </c>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row>
    <row r="60" spans="1:34" x14ac:dyDescent="0.2">
      <c r="A60" s="7"/>
      <c r="B60" s="7"/>
      <c r="C60" s="54" t="s">
        <v>60</v>
      </c>
      <c r="D60" s="65">
        <v>60</v>
      </c>
      <c r="E60" s="24"/>
      <c r="F60" s="54" t="s">
        <v>60</v>
      </c>
      <c r="G60" s="54" t="s">
        <v>267</v>
      </c>
      <c r="H60" s="65">
        <v>60</v>
      </c>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row>
    <row r="61" spans="1:34" x14ac:dyDescent="0.2">
      <c r="A61" s="7"/>
      <c r="B61" s="7"/>
      <c r="C61" s="54" t="s">
        <v>61</v>
      </c>
      <c r="D61" s="65">
        <v>40</v>
      </c>
      <c r="E61" s="24"/>
      <c r="F61" s="54" t="s">
        <v>61</v>
      </c>
      <c r="G61" s="54" t="s">
        <v>272</v>
      </c>
      <c r="H61" s="65">
        <v>40</v>
      </c>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row>
    <row r="62" spans="1:34" x14ac:dyDescent="0.2">
      <c r="A62" s="7"/>
      <c r="B62" s="7"/>
      <c r="C62" s="78"/>
      <c r="D62" s="78"/>
      <c r="E62" s="78"/>
      <c r="F62" s="78"/>
      <c r="G62" s="78"/>
      <c r="H62" s="78"/>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row>
    <row r="63" spans="1:34" ht="15" thickBot="1" x14ac:dyDescent="0.25">
      <c r="A63" s="7"/>
      <c r="B63" s="7"/>
      <c r="C63" s="21" t="s">
        <v>57</v>
      </c>
      <c r="D63" s="50" t="s">
        <v>263</v>
      </c>
      <c r="E63" s="24"/>
      <c r="F63" s="21" t="s">
        <v>57</v>
      </c>
      <c r="G63" s="21" t="s">
        <v>264</v>
      </c>
      <c r="H63" s="50" t="s">
        <v>275</v>
      </c>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row>
    <row r="64" spans="1:34" ht="15.75" thickTop="1" thickBot="1" x14ac:dyDescent="0.25">
      <c r="A64" s="7"/>
      <c r="B64" s="7"/>
      <c r="C64" s="51" t="s">
        <v>58</v>
      </c>
      <c r="D64" s="42">
        <f>COUNTIF(C50:C61,C64)</f>
        <v>3</v>
      </c>
      <c r="E64" s="24"/>
      <c r="F64" s="51" t="s">
        <v>59</v>
      </c>
      <c r="G64" s="51" t="s">
        <v>266</v>
      </c>
      <c r="H64" s="52">
        <f>COUNTIFS(F50:F61,F64,G50:G61,G64)</f>
        <v>1</v>
      </c>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row>
    <row r="65" spans="1:34" ht="15" thickTop="1" x14ac:dyDescent="0.2">
      <c r="A65" s="7"/>
      <c r="B65" s="7"/>
      <c r="C65" s="21"/>
      <c r="D65" s="21"/>
      <c r="E65" s="24"/>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row>
    <row r="66" spans="1:34" x14ac:dyDescent="0.2">
      <c r="A66" s="7"/>
      <c r="B66" s="7"/>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row>
    <row r="67" spans="1:34" x14ac:dyDescent="0.2">
      <c r="A67" s="7"/>
      <c r="B67" s="7"/>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row>
    <row r="68" spans="1:34" x14ac:dyDescent="0.2">
      <c r="A68" s="7"/>
      <c r="B68" s="7"/>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row>
    <row r="69" spans="1:34" x14ac:dyDescent="0.2">
      <c r="A69" s="7"/>
      <c r="B69" s="7"/>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row>
    <row r="70" spans="1:34" x14ac:dyDescent="0.2">
      <c r="A70" s="7"/>
      <c r="B70" s="7"/>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row>
    <row r="71" spans="1:34" x14ac:dyDescent="0.2">
      <c r="A71" s="7"/>
      <c r="B71" s="7"/>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row>
    <row r="72" spans="1:34" x14ac:dyDescent="0.2">
      <c r="A72" s="7"/>
      <c r="B72" s="7"/>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row>
    <row r="73" spans="1:34" x14ac:dyDescent="0.2">
      <c r="A73" s="7"/>
      <c r="B73" s="7"/>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row>
    <row r="74" spans="1:34" x14ac:dyDescent="0.2">
      <c r="A74" s="7"/>
      <c r="B74" s="7"/>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row>
    <row r="75" spans="1:34" x14ac:dyDescent="0.2">
      <c r="A75" s="7"/>
      <c r="B75" s="7"/>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row>
    <row r="76" spans="1:34" x14ac:dyDescent="0.2">
      <c r="A76" s="7"/>
      <c r="B76" s="7"/>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row>
    <row r="77" spans="1:34" x14ac:dyDescent="0.2">
      <c r="A77" s="7"/>
      <c r="B77" s="7"/>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row>
    <row r="78" spans="1:34" x14ac:dyDescent="0.2">
      <c r="A78" s="7"/>
      <c r="B78" s="7"/>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row>
    <row r="79" spans="1:34" x14ac:dyDescent="0.2">
      <c r="A79" s="7"/>
      <c r="B79" s="7"/>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row>
    <row r="80" spans="1:34" x14ac:dyDescent="0.2">
      <c r="A80" s="7"/>
      <c r="B80" s="7"/>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row>
    <row r="81" spans="1:34" x14ac:dyDescent="0.2">
      <c r="A81" s="7"/>
      <c r="B81" s="7"/>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row>
    <row r="82" spans="1:34" x14ac:dyDescent="0.2">
      <c r="A82" s="7"/>
      <c r="B82" s="7"/>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row>
    <row r="83" spans="1:34" x14ac:dyDescent="0.2">
      <c r="A83" s="7"/>
      <c r="B83" s="7"/>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row>
    <row r="84" spans="1:34" x14ac:dyDescent="0.2">
      <c r="A84" s="7"/>
      <c r="B84" s="7"/>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row>
    <row r="85" spans="1:34" x14ac:dyDescent="0.2">
      <c r="A85" s="7"/>
      <c r="B85" s="7"/>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row>
    <row r="86" spans="1:34" x14ac:dyDescent="0.2">
      <c r="A86" s="7"/>
      <c r="B86" s="7"/>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row>
    <row r="87" spans="1:34" x14ac:dyDescent="0.2">
      <c r="A87" s="7"/>
      <c r="B87" s="7"/>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row>
    <row r="88" spans="1:34" x14ac:dyDescent="0.2">
      <c r="A88" s="7"/>
      <c r="B88" s="7"/>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row>
    <row r="89" spans="1:34" x14ac:dyDescent="0.2">
      <c r="A89" s="7"/>
      <c r="B89" s="7"/>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row>
    <row r="90" spans="1:34" ht="15" customHeight="1" x14ac:dyDescent="0.2">
      <c r="A90" s="7"/>
      <c r="B90" s="7"/>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row>
    <row r="91" spans="1:34" ht="15" customHeight="1" x14ac:dyDescent="0.2">
      <c r="A91" s="7"/>
      <c r="B91" s="7"/>
      <c r="C91" s="12" t="s">
        <v>57</v>
      </c>
      <c r="D91" s="12" t="s">
        <v>264</v>
      </c>
      <c r="E91" s="13" t="s">
        <v>73</v>
      </c>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row>
    <row r="92" spans="1:34" ht="15" customHeight="1" x14ac:dyDescent="0.2">
      <c r="A92" s="7"/>
      <c r="B92" s="7"/>
      <c r="C92" s="54" t="s">
        <v>58</v>
      </c>
      <c r="D92" s="54" t="s">
        <v>265</v>
      </c>
      <c r="E92" s="65">
        <v>50</v>
      </c>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row>
    <row r="93" spans="1:34" ht="15" customHeight="1" x14ac:dyDescent="0.2">
      <c r="A93" s="7"/>
      <c r="B93" s="7"/>
      <c r="C93" s="54" t="s">
        <v>59</v>
      </c>
      <c r="D93" s="54" t="s">
        <v>266</v>
      </c>
      <c r="E93" s="65">
        <v>20</v>
      </c>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row>
    <row r="94" spans="1:34" ht="15" customHeight="1" x14ac:dyDescent="0.2">
      <c r="A94" s="7"/>
      <c r="B94" s="7"/>
      <c r="C94" s="54" t="s">
        <v>60</v>
      </c>
      <c r="D94" s="54" t="s">
        <v>267</v>
      </c>
      <c r="E94" s="65">
        <v>60</v>
      </c>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row>
    <row r="95" spans="1:34" ht="15" customHeight="1" x14ac:dyDescent="0.2">
      <c r="A95" s="7"/>
      <c r="B95" s="7"/>
      <c r="C95" s="54" t="s">
        <v>61</v>
      </c>
      <c r="D95" s="54" t="s">
        <v>268</v>
      </c>
      <c r="E95" s="65">
        <v>40</v>
      </c>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row>
    <row r="96" spans="1:34" ht="15" customHeight="1" x14ac:dyDescent="0.2">
      <c r="A96" s="7"/>
      <c r="B96" s="7"/>
      <c r="C96" s="54" t="s">
        <v>58</v>
      </c>
      <c r="D96" s="54" t="s">
        <v>269</v>
      </c>
      <c r="E96" s="65">
        <v>50</v>
      </c>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row>
    <row r="97" spans="1:34" x14ac:dyDescent="0.2">
      <c r="A97" s="7"/>
      <c r="B97" s="7"/>
      <c r="C97" s="54" t="s">
        <v>59</v>
      </c>
      <c r="D97" s="54" t="s">
        <v>270</v>
      </c>
      <c r="E97" s="65">
        <v>20</v>
      </c>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row>
    <row r="98" spans="1:34" x14ac:dyDescent="0.2">
      <c r="A98" s="7"/>
      <c r="B98" s="7"/>
      <c r="C98" s="54" t="s">
        <v>60</v>
      </c>
      <c r="D98" s="54" t="s">
        <v>271</v>
      </c>
      <c r="E98" s="65">
        <v>60</v>
      </c>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row>
    <row r="99" spans="1:34" x14ac:dyDescent="0.2">
      <c r="A99" s="7"/>
      <c r="B99" s="7"/>
      <c r="C99" s="54" t="s">
        <v>61</v>
      </c>
      <c r="D99" s="54" t="s">
        <v>272</v>
      </c>
      <c r="E99" s="65">
        <v>40</v>
      </c>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row>
    <row r="100" spans="1:34" x14ac:dyDescent="0.2">
      <c r="A100" s="7"/>
      <c r="B100" s="7"/>
      <c r="C100" s="54" t="s">
        <v>58</v>
      </c>
      <c r="D100" s="54" t="s">
        <v>269</v>
      </c>
      <c r="E100" s="65">
        <v>50</v>
      </c>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row>
    <row r="101" spans="1:34" x14ac:dyDescent="0.2">
      <c r="A101" s="7"/>
      <c r="B101" s="7"/>
      <c r="C101" s="54" t="s">
        <v>59</v>
      </c>
      <c r="D101" s="54" t="s">
        <v>270</v>
      </c>
      <c r="E101" s="65">
        <v>20</v>
      </c>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row>
    <row r="102" spans="1:34" ht="15" customHeight="1" x14ac:dyDescent="0.2">
      <c r="A102" s="7"/>
      <c r="B102" s="7"/>
      <c r="C102" s="54" t="s">
        <v>60</v>
      </c>
      <c r="D102" s="54" t="s">
        <v>267</v>
      </c>
      <c r="E102" s="65">
        <v>60</v>
      </c>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row>
    <row r="103" spans="1:34" ht="15" customHeight="1" x14ac:dyDescent="0.2">
      <c r="A103" s="7"/>
      <c r="B103" s="7"/>
      <c r="C103" s="54" t="s">
        <v>61</v>
      </c>
      <c r="D103" s="54" t="s">
        <v>272</v>
      </c>
      <c r="E103" s="65">
        <v>40</v>
      </c>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row>
    <row r="104" spans="1:34" ht="15" customHeight="1" x14ac:dyDescent="0.2">
      <c r="A104" s="7"/>
      <c r="B104" s="7"/>
      <c r="C104" s="21"/>
      <c r="D104" s="21"/>
      <c r="E104" s="24"/>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row>
    <row r="105" spans="1:34" ht="15" customHeight="1" thickBot="1" x14ac:dyDescent="0.25">
      <c r="A105" s="7"/>
      <c r="B105" s="7"/>
      <c r="C105" s="21" t="s">
        <v>57</v>
      </c>
      <c r="D105" s="21" t="s">
        <v>264</v>
      </c>
      <c r="E105" s="50" t="s">
        <v>273</v>
      </c>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row>
    <row r="106" spans="1:34" ht="15" customHeight="1" thickTop="1" thickBot="1" x14ac:dyDescent="0.25">
      <c r="A106" s="7"/>
      <c r="B106" s="7"/>
      <c r="C106" s="51" t="s">
        <v>61</v>
      </c>
      <c r="D106" s="51" t="s">
        <v>272</v>
      </c>
      <c r="E106" s="52">
        <f>AVERAGEIFS(E92:E103,C92:C103,C106,D92:D103,D106)</f>
        <v>40</v>
      </c>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row>
    <row r="107" spans="1:34" ht="15" customHeight="1" thickTop="1" x14ac:dyDescent="0.2">
      <c r="A107" s="7"/>
      <c r="B107" s="7"/>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row>
    <row r="108" spans="1:34" x14ac:dyDescent="0.2">
      <c r="A108" s="7"/>
      <c r="B108" s="7"/>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row>
    <row r="109" spans="1:34" x14ac:dyDescent="0.2">
      <c r="A109" s="7"/>
      <c r="B109" s="7"/>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row>
    <row r="110" spans="1:34" x14ac:dyDescent="0.2">
      <c r="A110" s="7"/>
      <c r="B110" s="7"/>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row>
    <row r="111" spans="1:34" x14ac:dyDescent="0.2">
      <c r="A111" s="7"/>
      <c r="B111" s="7"/>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row>
    <row r="112" spans="1:34" x14ac:dyDescent="0.2">
      <c r="A112" s="7"/>
      <c r="B112" s="7"/>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row>
    <row r="113" spans="1:34" x14ac:dyDescent="0.2">
      <c r="A113" s="7"/>
      <c r="B113" s="7"/>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row>
    <row r="114" spans="1:34" x14ac:dyDescent="0.2">
      <c r="A114" s="7"/>
      <c r="B114" s="7"/>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row>
    <row r="115" spans="1:34" x14ac:dyDescent="0.2">
      <c r="A115" s="7"/>
      <c r="B115" s="7"/>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row>
    <row r="116" spans="1:34" x14ac:dyDescent="0.2">
      <c r="A116" s="7"/>
      <c r="B116" s="7"/>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row>
    <row r="117" spans="1:34" x14ac:dyDescent="0.2">
      <c r="A117" s="7"/>
      <c r="B117" s="7"/>
      <c r="C117" s="12" t="s">
        <v>63</v>
      </c>
      <c r="D117" s="13" t="s">
        <v>73</v>
      </c>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row>
    <row r="118" spans="1:34" x14ac:dyDescent="0.2">
      <c r="A118" s="7"/>
      <c r="B118" s="7"/>
      <c r="C118" s="85" t="s">
        <v>64</v>
      </c>
      <c r="D118" s="121">
        <v>50</v>
      </c>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row>
    <row r="119" spans="1:34" x14ac:dyDescent="0.2">
      <c r="A119" s="7"/>
      <c r="B119" s="7"/>
      <c r="C119" s="85" t="s">
        <v>65</v>
      </c>
      <c r="D119" s="121">
        <v>100</v>
      </c>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row>
    <row r="120" spans="1:34" x14ac:dyDescent="0.2">
      <c r="A120" s="7"/>
      <c r="B120" s="7"/>
      <c r="C120" s="85" t="s">
        <v>66</v>
      </c>
      <c r="D120" s="121">
        <v>40</v>
      </c>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row>
    <row r="121" spans="1:34" x14ac:dyDescent="0.2">
      <c r="A121" s="7"/>
      <c r="B121" s="7"/>
      <c r="C121" s="85" t="s">
        <v>67</v>
      </c>
      <c r="D121" s="121">
        <v>50</v>
      </c>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row>
    <row r="122" spans="1:34" ht="15" thickBot="1" x14ac:dyDescent="0.25">
      <c r="A122" s="7"/>
      <c r="B122" s="7"/>
      <c r="C122" s="85" t="s">
        <v>68</v>
      </c>
      <c r="D122" s="121">
        <v>20</v>
      </c>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row>
    <row r="123" spans="1:34" ht="15.75" thickTop="1" thickBot="1" x14ac:dyDescent="0.25">
      <c r="A123" s="7"/>
      <c r="B123" s="7"/>
      <c r="C123" s="66"/>
      <c r="D123" s="108">
        <f>SUMIF(D118:D122,"&gt;=50")</f>
        <v>200</v>
      </c>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row>
    <row r="124" spans="1:34" ht="15" thickTop="1" x14ac:dyDescent="0.2">
      <c r="A124" s="67"/>
      <c r="B124" s="67"/>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row>
  </sheetData>
  <dataValidations count="2">
    <dataValidation type="list" allowBlank="1" showInputMessage="1" showErrorMessage="1" sqref="C17 C34 F17 F34 C106 C64 C81 F64 F81" xr:uid="{00000000-0002-0000-0900-000000000000}">
      <formula1>lst_Fruit</formula1>
    </dataValidation>
    <dataValidation type="list" allowBlank="1" showInputMessage="1" showErrorMessage="1" sqref="G17 G34 D106 G64 G81" xr:uid="{00000000-0002-0000-0900-000001000000}">
      <formula1>INDIRECT(C17)</formula1>
    </dataValidation>
  </dataValidations>
  <pageMargins left="0.7" right="0.7" top="0.75" bottom="0.75" header="0.3" footer="0.3"/>
  <pageSetup paperSize="9" orientation="portrait"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rightToLeft="1" workbookViewId="0">
      <selection activeCell="D10" sqref="D10"/>
    </sheetView>
  </sheetViews>
  <sheetFormatPr defaultRowHeight="14.25" x14ac:dyDescent="0.2"/>
  <cols>
    <col min="1" max="1" width="12.875" style="80" customWidth="1"/>
    <col min="2" max="2" width="82.75" style="80" customWidth="1"/>
    <col min="3" max="4" width="13.125" style="80" customWidth="1"/>
    <col min="5" max="16384" width="9" style="80"/>
  </cols>
  <sheetData>
    <row r="1" spans="1:4" ht="60" customHeight="1" x14ac:dyDescent="0.2">
      <c r="A1" s="2" t="s">
        <v>276</v>
      </c>
      <c r="B1" s="78"/>
      <c r="C1" s="3"/>
      <c r="D1" s="83"/>
    </row>
    <row r="2" spans="1:4" x14ac:dyDescent="0.2">
      <c r="A2" s="2" t="s">
        <v>277</v>
      </c>
      <c r="B2" s="78"/>
      <c r="C2" s="78"/>
      <c r="D2" s="78"/>
    </row>
    <row r="3" spans="1:4" ht="15" customHeight="1" x14ac:dyDescent="0.2">
      <c r="A3" s="4" t="s">
        <v>278</v>
      </c>
      <c r="B3" s="78"/>
      <c r="C3" s="78"/>
      <c r="D3" s="78"/>
    </row>
    <row r="4" spans="1:4" ht="15" customHeight="1" x14ac:dyDescent="0.2">
      <c r="A4" s="4" t="s">
        <v>279</v>
      </c>
      <c r="B4" s="78"/>
      <c r="C4" s="48" t="s">
        <v>57</v>
      </c>
      <c r="D4" s="49" t="s">
        <v>73</v>
      </c>
    </row>
    <row r="5" spans="1:4" ht="15" customHeight="1" x14ac:dyDescent="0.2">
      <c r="A5" s="4" t="s">
        <v>280</v>
      </c>
      <c r="B5" s="78"/>
      <c r="C5" s="54" t="s">
        <v>58</v>
      </c>
      <c r="D5" s="65">
        <v>50</v>
      </c>
    </row>
    <row r="6" spans="1:4" x14ac:dyDescent="0.2">
      <c r="A6" s="2" t="s">
        <v>281</v>
      </c>
      <c r="B6" s="78"/>
      <c r="C6" s="54" t="s">
        <v>59</v>
      </c>
      <c r="D6" s="65">
        <v>20</v>
      </c>
    </row>
    <row r="7" spans="1:4" ht="15" customHeight="1" x14ac:dyDescent="0.2">
      <c r="A7" s="4" t="s">
        <v>282</v>
      </c>
      <c r="B7" s="78"/>
      <c r="C7" s="54" t="s">
        <v>60</v>
      </c>
      <c r="D7" s="65">
        <v>60</v>
      </c>
    </row>
    <row r="8" spans="1:4" ht="15" customHeight="1" x14ac:dyDescent="0.2">
      <c r="A8" s="2" t="s">
        <v>24</v>
      </c>
      <c r="B8" s="78"/>
      <c r="C8" s="54" t="s">
        <v>61</v>
      </c>
      <c r="D8" s="65">
        <v>40</v>
      </c>
    </row>
    <row r="9" spans="1:4" ht="15" customHeight="1" thickBot="1" x14ac:dyDescent="0.25">
      <c r="A9" s="2" t="s">
        <v>25</v>
      </c>
      <c r="B9" s="78"/>
      <c r="C9" s="21"/>
      <c r="D9" s="21"/>
    </row>
    <row r="10" spans="1:4" ht="15.75" thickTop="1" thickBot="1" x14ac:dyDescent="0.25">
      <c r="A10" s="2" t="s">
        <v>26</v>
      </c>
      <c r="B10" s="78"/>
      <c r="C10" s="51" t="s">
        <v>58</v>
      </c>
      <c r="D10" s="52">
        <f>VLOOKUP(C10,C5:D8,2,FALSE)</f>
        <v>50</v>
      </c>
    </row>
    <row r="11" spans="1:4" ht="15" thickTop="1" x14ac:dyDescent="0.2">
      <c r="A11" s="2" t="s">
        <v>28</v>
      </c>
      <c r="B11" s="78"/>
      <c r="C11" s="78"/>
      <c r="D11" s="78"/>
    </row>
    <row r="12" spans="1:4" x14ac:dyDescent="0.2">
      <c r="A12" s="2" t="s">
        <v>283</v>
      </c>
      <c r="B12" s="78"/>
      <c r="C12" s="78"/>
      <c r="D12" s="78"/>
    </row>
    <row r="13" spans="1:4" x14ac:dyDescent="0.2">
      <c r="A13" s="2" t="s">
        <v>284</v>
      </c>
      <c r="B13" s="78"/>
      <c r="C13" s="78"/>
      <c r="D13" s="78"/>
    </row>
    <row r="14" spans="1:4" x14ac:dyDescent="0.2">
      <c r="A14" s="2" t="s">
        <v>31</v>
      </c>
      <c r="B14" s="78"/>
      <c r="C14" s="78"/>
      <c r="D14" s="78"/>
    </row>
  </sheetData>
  <dataValidations disablePrompts="1" count="1">
    <dataValidation type="list" allowBlank="1" showInputMessage="1" showErrorMessage="1" sqref="C10" xr:uid="{00000000-0002-0000-0A00-000000000000}">
      <formula1>$C$5:$C$8</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rightToLeft="1" workbookViewId="0">
      <selection activeCell="D9" sqref="D9"/>
    </sheetView>
  </sheetViews>
  <sheetFormatPr defaultRowHeight="14.25" x14ac:dyDescent="0.2"/>
  <cols>
    <col min="1" max="1" width="12.875" style="80" customWidth="1"/>
    <col min="2" max="2" width="82.75" style="80" customWidth="1"/>
    <col min="3" max="4" width="13.25" style="80" customWidth="1"/>
    <col min="5" max="16384" width="9" style="80"/>
  </cols>
  <sheetData>
    <row r="1" spans="1:4" ht="60" customHeight="1" x14ac:dyDescent="0.2">
      <c r="A1" s="2" t="s">
        <v>285</v>
      </c>
      <c r="B1" s="78"/>
      <c r="C1" s="3"/>
      <c r="D1" s="79"/>
    </row>
    <row r="2" spans="1:4" ht="15" customHeight="1" x14ac:dyDescent="0.2">
      <c r="A2" s="2" t="s">
        <v>286</v>
      </c>
      <c r="B2" s="78"/>
      <c r="C2" s="81"/>
      <c r="D2" s="81"/>
    </row>
    <row r="3" spans="1:4" x14ac:dyDescent="0.2">
      <c r="A3" s="2" t="s">
        <v>287</v>
      </c>
      <c r="B3" s="78"/>
      <c r="C3" s="48" t="s">
        <v>57</v>
      </c>
      <c r="D3" s="49" t="s">
        <v>74</v>
      </c>
    </row>
    <row r="4" spans="1:4" x14ac:dyDescent="0.2">
      <c r="A4" s="2" t="s">
        <v>288</v>
      </c>
      <c r="B4" s="78"/>
      <c r="C4" s="26" t="s">
        <v>58</v>
      </c>
      <c r="D4" s="27">
        <v>50</v>
      </c>
    </row>
    <row r="5" spans="1:4" x14ac:dyDescent="0.2">
      <c r="A5" s="2" t="s">
        <v>289</v>
      </c>
      <c r="B5" s="78"/>
      <c r="C5" s="26" t="s">
        <v>59</v>
      </c>
      <c r="D5" s="27">
        <v>20</v>
      </c>
    </row>
    <row r="6" spans="1:4" x14ac:dyDescent="0.2">
      <c r="A6" s="2" t="s">
        <v>290</v>
      </c>
      <c r="B6" s="78"/>
      <c r="C6" s="26" t="s">
        <v>60</v>
      </c>
      <c r="D6" s="27">
        <v>60</v>
      </c>
    </row>
    <row r="7" spans="1:4" ht="15" customHeight="1" x14ac:dyDescent="0.2">
      <c r="A7" s="4" t="s">
        <v>291</v>
      </c>
      <c r="B7" s="78"/>
      <c r="C7" s="26" t="s">
        <v>61</v>
      </c>
      <c r="D7" s="27">
        <v>40</v>
      </c>
    </row>
    <row r="8" spans="1:4" ht="15" thickBot="1" x14ac:dyDescent="0.25">
      <c r="A8" s="2" t="s">
        <v>24</v>
      </c>
      <c r="B8" s="78"/>
      <c r="C8" s="21"/>
      <c r="D8" s="21"/>
    </row>
    <row r="9" spans="1:4" ht="15.75" thickTop="1" thickBot="1" x14ac:dyDescent="0.25">
      <c r="A9" s="2" t="s">
        <v>25</v>
      </c>
      <c r="B9" s="78"/>
      <c r="C9" s="51" t="s">
        <v>307</v>
      </c>
      <c r="D9" s="52" t="e">
        <f>VLOOKUP(C9,C3:D7,2,FALSE)</f>
        <v>#N/A</v>
      </c>
    </row>
    <row r="10" spans="1:4" ht="15" thickTop="1" x14ac:dyDescent="0.2">
      <c r="A10" s="2" t="s">
        <v>26</v>
      </c>
      <c r="B10" s="78"/>
      <c r="C10" s="78"/>
      <c r="D10" s="78"/>
    </row>
    <row r="11" spans="1:4" x14ac:dyDescent="0.2">
      <c r="A11" s="2" t="s">
        <v>292</v>
      </c>
      <c r="B11" s="78"/>
      <c r="C11" s="78"/>
      <c r="D11" s="78"/>
    </row>
    <row r="12" spans="1:4" x14ac:dyDescent="0.2">
      <c r="A12" s="2" t="s">
        <v>293</v>
      </c>
      <c r="B12" s="78"/>
      <c r="C12" s="78"/>
      <c r="D12" s="78"/>
    </row>
    <row r="13" spans="1:4" x14ac:dyDescent="0.2">
      <c r="A13" s="2" t="s">
        <v>294</v>
      </c>
      <c r="B13" s="78"/>
      <c r="C13" s="78"/>
      <c r="D13" s="78"/>
    </row>
    <row r="14" spans="1:4" x14ac:dyDescent="0.2">
      <c r="A14" s="2" t="s">
        <v>31</v>
      </c>
      <c r="B14" s="78"/>
      <c r="C14" s="78"/>
      <c r="D14" s="78"/>
    </row>
    <row r="15" spans="1:4" x14ac:dyDescent="0.2">
      <c r="A15" s="78"/>
      <c r="B15" s="78"/>
      <c r="C15" s="78"/>
      <c r="D15" s="78"/>
    </row>
    <row r="16" spans="1:4" x14ac:dyDescent="0.2">
      <c r="A16" s="78"/>
      <c r="B16" s="78"/>
      <c r="C16" s="78"/>
      <c r="D16" s="78"/>
    </row>
    <row r="17" spans="1:4" x14ac:dyDescent="0.2">
      <c r="A17" s="78"/>
      <c r="B17" s="78"/>
      <c r="C17" s="78"/>
      <c r="D17" s="78"/>
    </row>
    <row r="18" spans="1:4" x14ac:dyDescent="0.2">
      <c r="A18" s="78"/>
      <c r="B18" s="78"/>
      <c r="C18" s="78"/>
      <c r="D18" s="78"/>
    </row>
    <row r="19" spans="1:4" x14ac:dyDescent="0.2">
      <c r="A19" s="78"/>
      <c r="B19" s="78"/>
      <c r="C19" s="78"/>
      <c r="D19" s="78"/>
    </row>
    <row r="20" spans="1:4" x14ac:dyDescent="0.2">
      <c r="A20" s="78"/>
      <c r="B20" s="78"/>
      <c r="C20" s="78"/>
      <c r="D20" s="78"/>
    </row>
    <row r="21" spans="1:4" x14ac:dyDescent="0.2">
      <c r="A21" s="78"/>
      <c r="B21" s="78"/>
      <c r="C21" s="78"/>
      <c r="D21" s="78"/>
    </row>
    <row r="22" spans="1:4" x14ac:dyDescent="0.2">
      <c r="A22" s="78"/>
      <c r="B22" s="78"/>
      <c r="C22" s="78"/>
      <c r="D22" s="78"/>
    </row>
    <row r="23" spans="1:4" x14ac:dyDescent="0.2">
      <c r="A23" s="78"/>
      <c r="B23" s="78"/>
      <c r="C23" s="78"/>
      <c r="D23" s="78"/>
    </row>
    <row r="24" spans="1:4" x14ac:dyDescent="0.2">
      <c r="A24" s="78"/>
      <c r="B24" s="78"/>
      <c r="C24" s="78"/>
      <c r="D24" s="78"/>
    </row>
    <row r="25" spans="1:4" x14ac:dyDescent="0.2">
      <c r="A25" s="78"/>
      <c r="B25" s="78"/>
      <c r="C25" s="78"/>
      <c r="D25" s="78"/>
    </row>
    <row r="26" spans="1:4" x14ac:dyDescent="0.2">
      <c r="A26" s="78"/>
      <c r="B26" s="78"/>
      <c r="C26" s="78"/>
      <c r="D26" s="78"/>
    </row>
    <row r="27" spans="1:4" x14ac:dyDescent="0.2">
      <c r="A27" s="78"/>
      <c r="B27" s="78"/>
      <c r="C27" s="78"/>
      <c r="D27" s="78"/>
    </row>
    <row r="28" spans="1:4" x14ac:dyDescent="0.2">
      <c r="A28" s="78"/>
      <c r="B28" s="78"/>
      <c r="C28" s="78"/>
      <c r="D28" s="78"/>
    </row>
    <row r="29" spans="1:4" x14ac:dyDescent="0.2">
      <c r="A29" s="78"/>
      <c r="B29" s="78"/>
      <c r="C29" s="78"/>
      <c r="D29" s="78"/>
    </row>
    <row r="30" spans="1:4" x14ac:dyDescent="0.2">
      <c r="A30" s="78"/>
      <c r="B30" s="78"/>
      <c r="C30" s="48" t="s">
        <v>57</v>
      </c>
      <c r="D30" s="49" t="s">
        <v>73</v>
      </c>
    </row>
    <row r="31" spans="1:4" x14ac:dyDescent="0.2">
      <c r="A31" s="78"/>
      <c r="B31" s="78"/>
      <c r="C31" s="26" t="s">
        <v>58</v>
      </c>
      <c r="D31" s="27">
        <v>50</v>
      </c>
    </row>
    <row r="32" spans="1:4" x14ac:dyDescent="0.2">
      <c r="A32" s="78"/>
      <c r="B32" s="78"/>
      <c r="C32" s="26" t="s">
        <v>59</v>
      </c>
      <c r="D32" s="27">
        <v>20</v>
      </c>
    </row>
    <row r="33" spans="1:4" x14ac:dyDescent="0.2">
      <c r="A33" s="78"/>
      <c r="B33" s="78"/>
      <c r="C33" s="26" t="s">
        <v>60</v>
      </c>
      <c r="D33" s="27">
        <v>60</v>
      </c>
    </row>
    <row r="34" spans="1:4" x14ac:dyDescent="0.2">
      <c r="A34" s="78"/>
      <c r="B34" s="78"/>
      <c r="C34" s="26" t="s">
        <v>61</v>
      </c>
      <c r="D34" s="27">
        <v>40</v>
      </c>
    </row>
    <row r="35" spans="1:4" ht="15" thickBot="1" x14ac:dyDescent="0.25">
      <c r="A35" s="78"/>
      <c r="B35" s="78"/>
      <c r="C35" s="78"/>
      <c r="D35" s="78"/>
    </row>
    <row r="36" spans="1:4" ht="15.75" thickTop="1" thickBot="1" x14ac:dyDescent="0.25">
      <c r="A36" s="78"/>
      <c r="B36" s="78"/>
      <c r="C36" s="51" t="s">
        <v>202</v>
      </c>
      <c r="D36" s="52" t="e">
        <f ca="1">sume(D31:D34)</f>
        <v>#NAME?</v>
      </c>
    </row>
    <row r="37" spans="1:4" ht="15" thickTop="1" x14ac:dyDescent="0.2">
      <c r="A37" s="82"/>
      <c r="B37" s="82"/>
      <c r="C37" s="82"/>
      <c r="D37" s="82"/>
    </row>
  </sheetData>
  <dataValidations count="1">
    <dataValidation type="list" allowBlank="1" showInputMessage="1" showErrorMessage="1" sqref="C9" xr:uid="{00000000-0002-0000-0B00-000000000000}">
      <formula1>$C$9:$C$38</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6"/>
  <sheetViews>
    <sheetView showGridLines="0" rightToLeft="1" zoomScaleNormal="100" workbookViewId="0"/>
  </sheetViews>
  <sheetFormatPr defaultColWidth="8.75" defaultRowHeight="15" customHeight="1" x14ac:dyDescent="0.2"/>
  <cols>
    <col min="1" max="1" width="8.75" style="77"/>
    <col min="2" max="2" width="95.125" style="73" customWidth="1"/>
    <col min="3" max="16384" width="8.75" style="73"/>
  </cols>
  <sheetData>
    <row r="1" spans="1:2" ht="60" customHeight="1" x14ac:dyDescent="0.2">
      <c r="A1" s="7" t="s">
        <v>295</v>
      </c>
      <c r="B1" s="72"/>
    </row>
    <row r="2" spans="1:2" s="74" customFormat="1" ht="15" customHeight="1" x14ac:dyDescent="0.2">
      <c r="A2" s="7" t="s">
        <v>311</v>
      </c>
      <c r="B2" s="72"/>
    </row>
    <row r="3" spans="1:2" s="74" customFormat="1" ht="15" customHeight="1" x14ac:dyDescent="0.2">
      <c r="A3" s="7" t="s">
        <v>296</v>
      </c>
      <c r="B3" s="72"/>
    </row>
    <row r="4" spans="1:2" s="75" customFormat="1" ht="15" customHeight="1" x14ac:dyDescent="0.4">
      <c r="A4" s="7" t="s">
        <v>297</v>
      </c>
      <c r="B4" s="72"/>
    </row>
    <row r="5" spans="1:2" s="76" customFormat="1" ht="15" customHeight="1" x14ac:dyDescent="0.2">
      <c r="A5" s="14" t="s">
        <v>298</v>
      </c>
      <c r="B5" s="72"/>
    </row>
    <row r="6" spans="1:2" s="76" customFormat="1" ht="15" customHeight="1" x14ac:dyDescent="0.2">
      <c r="A6" s="77"/>
      <c r="B6" s="72"/>
    </row>
  </sheetData>
  <hyperlinks>
    <hyperlink ref="A4" r:id="rId1" tooltip="حدّد للتعرّف على المزيد حول المجتمع" display="http://go.microsoft.com/fwlink/?LinkId=844969" xr:uid="{00000000-0004-0000-0C00-000001000000}"/>
    <hyperlink ref="A5" r:id="rId2" tooltip="حدّد للتعرّف على المزيد حول الميزات الجديدة الأخرى" display="http://go.microsoft.com/fwlink/?LinkId=846286" xr:uid="{00000000-0004-0000-0C00-000002000000}"/>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أوراق العمل</vt:lpstr>
      </vt:variant>
      <vt:variant>
        <vt:i4>13</vt:i4>
      </vt:variant>
      <vt:variant>
        <vt:lpstr>النطاقات المسماة</vt:lpstr>
      </vt:variant>
      <vt:variant>
        <vt:i4>15</vt:i4>
      </vt:variant>
    </vt:vector>
  </HeadingPairs>
  <TitlesOfParts>
    <vt:vector size="28" baseType="lpstr">
      <vt:lpstr>بدء</vt:lpstr>
      <vt:lpstr>أساسيات</vt:lpstr>
      <vt:lpstr>مقدمة حول الدالات</vt:lpstr>
      <vt:lpstr>AVERAGE</vt:lpstr>
      <vt:lpstr>الحد الأدنى والحد الأقصى</vt:lpstr>
      <vt:lpstr>التاريخ والوقت</vt:lpstr>
      <vt:lpstr>ضمّ النص والأرقام</vt:lpstr>
      <vt:lpstr>عبارات IF</vt:lpstr>
      <vt:lpstr>VLOOKUP</vt:lpstr>
      <vt:lpstr>الدالات الشرطية</vt:lpstr>
      <vt:lpstr>معالج الدالة</vt:lpstr>
      <vt:lpstr>أخطاء في الصيغة</vt:lpstr>
      <vt:lpstr>التعرّف على المزيد</vt:lpstr>
      <vt:lpstr>'مقدمة حول الدالات'!ExtraCredit</vt:lpstr>
      <vt:lpstr>'الدالات الشرطية'!Extract</vt:lpstr>
      <vt:lpstr>lst_Fruit</vt:lpstr>
      <vt:lpstr>lst_FruitType</vt:lpstr>
      <vt:lpstr>'مقدمة حول الدالات'!MoreFruit</vt:lpstr>
      <vt:lpstr>'مقدمة حول الدالات'!MoreItems</vt:lpstr>
      <vt:lpstr>'مقدمة حول الدالات'!SUMExtraCredit</vt:lpstr>
      <vt:lpstr>'مقدمة حول الدالات'!الإجمالي</vt:lpstr>
      <vt:lpstr>'مقدمة حول الدالات'!الأصناف</vt:lpstr>
      <vt:lpstr>'مقدمة حول الدالات'!اللحوم</vt:lpstr>
      <vt:lpstr>برتقال</vt:lpstr>
      <vt:lpstr>تفاح</vt:lpstr>
      <vt:lpstr>'مقدمة حول الدالات'!فاكهة</vt:lpstr>
      <vt:lpstr>ليمون</vt:lpstr>
      <vt:lpstr>موز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2019-06-19T15:26:14Z</dcterms:created>
  <dcterms:modified xsi:type="dcterms:W3CDTF">2019-10-11T00:42:29Z</dcterms:modified>
  <cp:category/>
  <cp:contentStatus/>
</cp:coreProperties>
</file>