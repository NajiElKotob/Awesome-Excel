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b4ffc2c2641dcdb/Desktop/MoF (KSA) 2025/The Sustainable System Program for Facility and Asset Management - 30 Nov 2025/Labs/"/>
    </mc:Choice>
  </mc:AlternateContent>
  <xr:revisionPtr revIDLastSave="160" documentId="8_{C4A0BB05-5F9F-4FA6-A159-424DBDA99964}" xr6:coauthVersionLast="47" xr6:coauthVersionMax="47" xr10:uidLastSave="{FA151F34-964E-4A1E-82C7-96906812C4BC}"/>
  <bookViews>
    <workbookView xWindow="-110" yWindow="-110" windowWidth="25820" windowHeight="15500" xr2:uid="{8E0A12BA-BDB5-4DC3-ABC4-7D71CE9495C0}"/>
  </bookViews>
  <sheets>
    <sheet name="SLA" sheetId="1" r:id="rId1"/>
    <sheet name="Downtime" sheetId="3" r:id="rId2"/>
    <sheet name="About"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C7" i="3"/>
  <c r="C8" i="3"/>
  <c r="B6" i="3"/>
  <c r="B7" i="3"/>
  <c r="B8" i="3"/>
  <c r="C5" i="3"/>
  <c r="B5" i="3"/>
  <c r="H13" i="1"/>
  <c r="H11" i="1"/>
  <c r="G11" i="1"/>
  <c r="H8" i="1"/>
  <c r="H9" i="1"/>
  <c r="H10" i="1"/>
  <c r="H7" i="1"/>
  <c r="G8" i="1"/>
  <c r="G9" i="1"/>
  <c r="G10" i="1"/>
  <c r="G7" i="1"/>
</calcChain>
</file>

<file path=xl/sharedStrings.xml><?xml version="1.0" encoding="utf-8"?>
<sst xmlns="http://schemas.openxmlformats.org/spreadsheetml/2006/main" count="29" uniqueCount="26">
  <si>
    <t>Naji El Kotob</t>
  </si>
  <si>
    <t>Version 1.2</t>
  </si>
  <si>
    <t>SLA (Service Level Agreement)</t>
  </si>
  <si>
    <t>Incident ID</t>
  </si>
  <si>
    <t>INC001</t>
  </si>
  <si>
    <t>P1</t>
  </si>
  <si>
    <t>INC002</t>
  </si>
  <si>
    <t>P2</t>
  </si>
  <si>
    <t>INC003</t>
  </si>
  <si>
    <t>P3</t>
  </si>
  <si>
    <t>INC004</t>
  </si>
  <si>
    <t>Priority الأولوية</t>
  </si>
  <si>
    <t>SLA Response Target زمن الاستجابة المطلوب</t>
  </si>
  <si>
    <t>Actual Response زمن الاستجابة الفعلي</t>
  </si>
  <si>
    <t>SLA Resolution Target زمن الحل المطلوب حسب</t>
  </si>
  <si>
    <t>Actual Resolution زمن الحل الفعلي</t>
  </si>
  <si>
    <t>Overall SLA Compliance (%)</t>
  </si>
  <si>
    <t>SLA Compliance (%)</t>
  </si>
  <si>
    <t>Monthly vs Yearly Downtime?</t>
  </si>
  <si>
    <t>وقت التشغيل (Uptime)</t>
  </si>
  <si>
    <t>الانقطاع المسموح به شهريًا (Allowed Downtime per Month)</t>
  </si>
  <si>
    <t>الانقطاع المسموح به سنويًا (Allowed Downtime per Year)</t>
  </si>
  <si>
    <t>Downtime الانقطاع</t>
  </si>
  <si>
    <t>Version 1.3 | Naji El Kotob</t>
  </si>
  <si>
    <t>Response Met?
هل تم تحقيق زمن الاستجابة؟</t>
  </si>
  <si>
    <t>Resolution Met?
هل تم تحقيق زمن الحل؟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</si>
</sst>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 &quot;hours&quot;\ m\ &quot;minutes&quot;"/>
    <numFmt numFmtId="165" formatCode="0.000%"/>
    <numFmt numFmtId="166" formatCode="[h]\ &quot;hours&quot;\ m\ &quot;minutes&quot;\ s\ &quot;seconds&quot;"/>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6"/>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style="thin">
        <color indexed="64"/>
      </top>
      <bottom style="double">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3" fillId="0" borderId="0" xfId="0" applyFont="1"/>
    <xf numFmtId="0" fontId="4" fillId="0" borderId="0" xfId="0" applyFont="1"/>
    <xf numFmtId="0" fontId="0" fillId="0" borderId="0" xfId="0" applyAlignment="1">
      <alignment vertical="center" wrapText="1"/>
    </xf>
    <xf numFmtId="0" fontId="2" fillId="2" borderId="0" xfId="0" applyFont="1" applyFill="1" applyAlignment="1">
      <alignment horizontal="center" vertical="center" wrapText="1"/>
    </xf>
    <xf numFmtId="9" fontId="0" fillId="0" borderId="0" xfId="0" applyNumberFormat="1"/>
    <xf numFmtId="10" fontId="2" fillId="0" borderId="0" xfId="0" applyNumberFormat="1" applyFont="1" applyAlignment="1">
      <alignment vertical="center" wrapText="1"/>
    </xf>
    <xf numFmtId="164" fontId="0" fillId="0" borderId="0" xfId="0" applyNumberFormat="1" applyAlignment="1">
      <alignment vertical="center" wrapText="1"/>
    </xf>
    <xf numFmtId="165" fontId="2" fillId="0" borderId="0" xfId="0" applyNumberFormat="1" applyFont="1" applyAlignment="1">
      <alignment vertical="center" wrapText="1"/>
    </xf>
    <xf numFmtId="166" fontId="0" fillId="0" borderId="0" xfId="0" applyNumberFormat="1" applyAlignment="1">
      <alignment vertical="center" wrapText="1"/>
    </xf>
    <xf numFmtId="0" fontId="5" fillId="0" borderId="1" xfId="0" applyFont="1" applyBorder="1" applyAlignment="1">
      <alignment vertical="center" wrapText="1"/>
    </xf>
    <xf numFmtId="0" fontId="5" fillId="0" borderId="1" xfId="0" applyFont="1" applyBorder="1"/>
    <xf numFmtId="9" fontId="5" fillId="0" borderId="1" xfId="1" applyFont="1" applyBorder="1" applyAlignment="1">
      <alignment vertical="center"/>
    </xf>
    <xf numFmtId="0" fontId="2" fillId="0" borderId="2" xfId="0" applyFont="1" applyBorder="1" applyAlignment="1">
      <alignment vertical="center" wrapText="1"/>
    </xf>
    <xf numFmtId="0" fontId="2" fillId="0" borderId="2" xfId="0" applyFont="1" applyBorder="1"/>
    <xf numFmtId="9" fontId="2" fillId="0" borderId="2" xfId="1" applyFont="1" applyBorder="1"/>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44450</xdr:rowOff>
    </xdr:from>
    <xdr:to>
      <xdr:col>16</xdr:col>
      <xdr:colOff>0</xdr:colOff>
      <xdr:row>16</xdr:row>
      <xdr:rowOff>31750</xdr:rowOff>
    </xdr:to>
    <xdr:sp macro="" textlink="">
      <xdr:nvSpPr>
        <xdr:cNvPr id="2" name="TextBox 1">
          <a:extLst>
            <a:ext uri="{FF2B5EF4-FFF2-40B4-BE49-F238E27FC236}">
              <a16:creationId xmlns:a16="http://schemas.microsoft.com/office/drawing/2014/main" id="{8315A687-553B-8A0C-8079-68A70CC6292B}"/>
            </a:ext>
          </a:extLst>
        </xdr:cNvPr>
        <xdr:cNvSpPr txBox="1"/>
      </xdr:nvSpPr>
      <xdr:spPr>
        <a:xfrm>
          <a:off x="10140950" y="311150"/>
          <a:ext cx="3657600" cy="372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ar-LB" sz="1400"/>
            <a:t>اتفاقية مستوى الخدمة </a:t>
          </a:r>
          <a:r>
            <a:rPr lang="en-US" sz="1400"/>
            <a:t> </a:t>
          </a:r>
          <a:r>
            <a:rPr lang="en-US" sz="1400" b="1"/>
            <a:t>SLA</a:t>
          </a:r>
          <a:r>
            <a:rPr lang="ar-LB" sz="1400"/>
            <a:t>هي وثيقة رسمية تُنظِّم العلاقة بين مزوّد الخدمة والعميل، وتحدّد بوضوح مستوى الجودة والأداء المتوقع من الخدمة المقدّمة، بحيث تضمن التزام المزوّد بمعايير محددة يمكن قياسها ومراقبتها. </a:t>
          </a:r>
          <a:endParaRPr lang="en-US" sz="1400"/>
        </a:p>
        <a:p>
          <a:pPr rtl="1"/>
          <a:endParaRPr lang="en-US" sz="1400"/>
        </a:p>
        <a:p>
          <a:pPr rtl="1"/>
          <a:r>
            <a:rPr lang="ar-LB" sz="1400"/>
            <a:t>تشمل هذه الاتفاقية وصفًا دقيقًا لطبيعة الخدمة ونطاقها وحدودها، إضافةً إلى مؤشرات أداء واضحة مثل نسبة التوفر، وزمن الاستجابة للحوادث، والمدة المطلوبة لمعالجة المشكلات حسب أولويتها. كما تحدد آليات المتابعة والتقارير الدورية وطرق قياس الأداء لضمان الشفافية والمساءلة، وتضع إجراءات للتعامل مع الإخفاقات، بما في ذلك العقوبات أو التعويضات المحتملة في حال عدم الالتزام بالمستويات المتفق عليها. </a:t>
          </a:r>
          <a:endParaRPr lang="en-US" sz="1400"/>
        </a:p>
        <a:p>
          <a:pPr rtl="1"/>
          <a:endParaRPr lang="en-US" sz="1400"/>
        </a:p>
        <a:p>
          <a:pPr rtl="1"/>
          <a:r>
            <a:rPr lang="ar-LB" sz="1400"/>
            <a:t>وتهدف اتفاقية مستوى الخدمة في جوهرها إلى حماية الطرفين، وتوضيح التوقعات مسبقًا، وتوفير إطار يضمن استمرارية الخدمة بجودة عالية مع تحسين مستمر للأداء.</a:t>
          </a:r>
          <a:endParaRPr lang="en-US" sz="1400"/>
        </a:p>
      </xdr:txBody>
    </xdr:sp>
    <xdr:clientData/>
  </xdr:twoCellAnchor>
  <xdr:twoCellAnchor>
    <xdr:from>
      <xdr:col>10</xdr:col>
      <xdr:colOff>0</xdr:colOff>
      <xdr:row>16</xdr:row>
      <xdr:rowOff>133350</xdr:rowOff>
    </xdr:from>
    <xdr:to>
      <xdr:col>16</xdr:col>
      <xdr:colOff>0</xdr:colOff>
      <xdr:row>22</xdr:row>
      <xdr:rowOff>127000</xdr:rowOff>
    </xdr:to>
    <xdr:sp macro="" textlink="">
      <xdr:nvSpPr>
        <xdr:cNvPr id="3" name="TextBox 2">
          <a:extLst>
            <a:ext uri="{FF2B5EF4-FFF2-40B4-BE49-F238E27FC236}">
              <a16:creationId xmlns:a16="http://schemas.microsoft.com/office/drawing/2014/main" id="{45B1C9F8-FE56-D106-9E26-C5B2496BDCDF}"/>
            </a:ext>
          </a:extLst>
        </xdr:cNvPr>
        <xdr:cNvSpPr txBox="1"/>
      </xdr:nvSpPr>
      <xdr:spPr>
        <a:xfrm>
          <a:off x="10140950" y="4133850"/>
          <a:ext cx="3657600" cy="109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en-US" sz="1100" baseline="0">
              <a:solidFill>
                <a:schemeClr val="dk1"/>
              </a:solidFill>
              <a:effectLst/>
              <a:latin typeface="+mn-lt"/>
              <a:ea typeface="+mn-ea"/>
              <a:cs typeface="+mn-cs"/>
            </a:rPr>
            <a:t> •</a:t>
          </a:r>
          <a:r>
            <a:rPr lang="ar-LB" sz="1400"/>
            <a:t>قياس التزام المورد بـ </a:t>
          </a:r>
          <a:r>
            <a:rPr lang="en-US" sz="1400"/>
            <a:t>SLA</a:t>
          </a:r>
        </a:p>
        <a:p>
          <a:pPr rtl="1"/>
          <a:r>
            <a:rPr lang="en-US" sz="1100" baseline="0">
              <a:solidFill>
                <a:schemeClr val="dk1"/>
              </a:solidFill>
              <a:effectLst/>
              <a:latin typeface="+mn-lt"/>
              <a:ea typeface="+mn-ea"/>
              <a:cs typeface="+mn-cs"/>
            </a:rPr>
            <a:t> •</a:t>
          </a:r>
          <a:r>
            <a:rPr lang="ar-LB" sz="1400"/>
            <a:t>تحديد البلاغات التي تم تجاوز الزمن المسموح لها</a:t>
          </a:r>
        </a:p>
        <a:p>
          <a:pPr rtl="1"/>
          <a:r>
            <a:rPr lang="en-US" sz="1100" baseline="0">
              <a:solidFill>
                <a:schemeClr val="dk1"/>
              </a:solidFill>
              <a:effectLst/>
              <a:latin typeface="+mn-lt"/>
              <a:ea typeface="+mn-ea"/>
              <a:cs typeface="+mn-cs"/>
            </a:rPr>
            <a:t> •</a:t>
          </a:r>
          <a:r>
            <a:rPr lang="ar-LB" sz="1400"/>
            <a:t>حساب نسبة الالتزام الشهرية</a:t>
          </a:r>
        </a:p>
        <a:p>
          <a:pPr rtl="1"/>
          <a:r>
            <a:rPr lang="en-US" sz="1100" baseline="0">
              <a:solidFill>
                <a:schemeClr val="dk1"/>
              </a:solidFill>
              <a:effectLst/>
              <a:latin typeface="+mn-lt"/>
              <a:ea typeface="+mn-ea"/>
              <a:cs typeface="+mn-cs"/>
            </a:rPr>
            <a:t> •</a:t>
          </a:r>
          <a:r>
            <a:rPr lang="ar-LB" sz="1400"/>
            <a:t>معرفة أين تحدث التأخيرات (الاستجابة أو الحل)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31750</xdr:colOff>
      <xdr:row>3</xdr:row>
      <xdr:rowOff>12700</xdr:rowOff>
    </xdr:from>
    <xdr:to>
      <xdr:col>9</xdr:col>
      <xdr:colOff>171450</xdr:colOff>
      <xdr:row>6</xdr:row>
      <xdr:rowOff>114300</xdr:rowOff>
    </xdr:to>
    <xdr:sp macro="" textlink="">
      <xdr:nvSpPr>
        <xdr:cNvPr id="2" name="TextBox 1">
          <a:extLst>
            <a:ext uri="{FF2B5EF4-FFF2-40B4-BE49-F238E27FC236}">
              <a16:creationId xmlns:a16="http://schemas.microsoft.com/office/drawing/2014/main" id="{D349D18F-57D0-B4FC-23C8-C2E1ABD44E19}"/>
            </a:ext>
          </a:extLst>
        </xdr:cNvPr>
        <xdr:cNvSpPr txBox="1"/>
      </xdr:nvSpPr>
      <xdr:spPr>
        <a:xfrm>
          <a:off x="7943850" y="996950"/>
          <a:ext cx="3187700" cy="1250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a:t>When selecting or negotiating SLAs:</a:t>
          </a:r>
        </a:p>
        <a:p>
          <a:pPr rtl="0"/>
          <a:r>
            <a:rPr lang="en-US"/>
            <a:t>• 99.9% is considered </a:t>
          </a:r>
          <a:r>
            <a:rPr lang="en-US" b="1"/>
            <a:t>good</a:t>
          </a:r>
          <a:endParaRPr lang="en-US"/>
        </a:p>
        <a:p>
          <a:pPr rtl="0"/>
          <a:r>
            <a:rPr lang="en-US"/>
            <a:t>• 99.99% is </a:t>
          </a:r>
          <a:r>
            <a:rPr lang="en-US" b="1"/>
            <a:t>premium mission-critical service</a:t>
          </a:r>
          <a:endParaRPr lang="en-US"/>
        </a:p>
        <a:p>
          <a:pPr rtl="0"/>
          <a:r>
            <a:rPr lang="en-US"/>
            <a:t>• 99.999% is </a:t>
          </a:r>
          <a:r>
            <a:rPr lang="en-US" b="1"/>
            <a:t>bank-grade / telecom-grade</a:t>
          </a:r>
          <a:endParaRPr lang="en-US"/>
        </a:p>
        <a:p>
          <a:pPr rtl="0"/>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8FD6-754B-4142-B824-18B3299638A3}">
  <dimension ref="A1:I14"/>
  <sheetViews>
    <sheetView tabSelected="1" workbookViewId="0">
      <selection activeCell="O26" sqref="O26"/>
    </sheetView>
  </sheetViews>
  <sheetFormatPr defaultRowHeight="14.5" x14ac:dyDescent="0.35"/>
  <cols>
    <col min="1" max="1" width="25.7265625" customWidth="1"/>
    <col min="2" max="2" width="6.81640625" bestFit="1" customWidth="1"/>
    <col min="3" max="3" width="20.1796875" customWidth="1"/>
    <col min="4" max="4" width="15.54296875" customWidth="1"/>
    <col min="5" max="5" width="20.1796875" customWidth="1"/>
    <col min="6" max="6" width="16.81640625" customWidth="1"/>
    <col min="7" max="7" width="10.81640625" customWidth="1"/>
    <col min="8" max="8" width="11.6328125" customWidth="1"/>
  </cols>
  <sheetData>
    <row r="1" spans="1:9" ht="21" x14ac:dyDescent="0.5">
      <c r="A1" s="2" t="s">
        <v>2</v>
      </c>
    </row>
    <row r="2" spans="1:9" x14ac:dyDescent="0.35">
      <c r="A2" t="s">
        <v>23</v>
      </c>
    </row>
    <row r="6" spans="1:9" ht="72.5" x14ac:dyDescent="0.35">
      <c r="A6" s="4" t="s">
        <v>3</v>
      </c>
      <c r="B6" s="4" t="s">
        <v>11</v>
      </c>
      <c r="C6" s="4" t="s">
        <v>12</v>
      </c>
      <c r="D6" s="4" t="s">
        <v>13</v>
      </c>
      <c r="E6" s="4" t="s">
        <v>14</v>
      </c>
      <c r="F6" s="4" t="s">
        <v>15</v>
      </c>
      <c r="G6" s="4" t="s">
        <v>24</v>
      </c>
      <c r="H6" s="4" t="s">
        <v>25</v>
      </c>
    </row>
    <row r="7" spans="1:9" x14ac:dyDescent="0.35">
      <c r="A7" s="3" t="s">
        <v>4</v>
      </c>
      <c r="B7" s="3" t="s">
        <v>5</v>
      </c>
      <c r="C7" s="3">
        <v>1</v>
      </c>
      <c r="D7" s="3">
        <v>2</v>
      </c>
      <c r="E7" s="3">
        <v>4</v>
      </c>
      <c r="F7" s="3">
        <v>3</v>
      </c>
      <c r="G7" t="str">
        <f>IF(D7&lt;=C7,"Yes","No")</f>
        <v>No</v>
      </c>
      <c r="H7" t="str">
        <f>IF(F7&lt;=E7,"Yes","No")</f>
        <v>Yes</v>
      </c>
    </row>
    <row r="8" spans="1:9" x14ac:dyDescent="0.35">
      <c r="A8" s="3" t="s">
        <v>6</v>
      </c>
      <c r="B8" s="3" t="s">
        <v>7</v>
      </c>
      <c r="C8" s="3">
        <v>2</v>
      </c>
      <c r="D8" s="3">
        <v>1.5</v>
      </c>
      <c r="E8" s="3">
        <v>8</v>
      </c>
      <c r="F8" s="3">
        <v>9</v>
      </c>
      <c r="G8" t="str">
        <f t="shared" ref="G8:G10" si="0">IF(D8&lt;=C8,"Yes","No")</f>
        <v>Yes</v>
      </c>
      <c r="H8" t="str">
        <f t="shared" ref="H8:H10" si="1">IF(F8&lt;=E8,"Yes","No")</f>
        <v>No</v>
      </c>
    </row>
    <row r="9" spans="1:9" x14ac:dyDescent="0.35">
      <c r="A9" s="3" t="s">
        <v>8</v>
      </c>
      <c r="B9" s="3" t="s">
        <v>9</v>
      </c>
      <c r="C9" s="3">
        <v>4</v>
      </c>
      <c r="D9" s="3">
        <v>3</v>
      </c>
      <c r="E9" s="3">
        <v>24</v>
      </c>
      <c r="F9" s="3">
        <v>20</v>
      </c>
      <c r="G9" t="str">
        <f t="shared" si="0"/>
        <v>Yes</v>
      </c>
      <c r="H9" t="str">
        <f t="shared" si="1"/>
        <v>Yes</v>
      </c>
    </row>
    <row r="10" spans="1:9" x14ac:dyDescent="0.35">
      <c r="A10" s="3" t="s">
        <v>10</v>
      </c>
      <c r="B10" s="3" t="s">
        <v>5</v>
      </c>
      <c r="C10" s="3">
        <v>1</v>
      </c>
      <c r="D10" s="3">
        <v>0.5</v>
      </c>
      <c r="E10" s="3">
        <v>4</v>
      </c>
      <c r="F10" s="3">
        <v>6</v>
      </c>
      <c r="G10" t="str">
        <f t="shared" si="0"/>
        <v>Yes</v>
      </c>
      <c r="H10" t="str">
        <f t="shared" si="1"/>
        <v>No</v>
      </c>
    </row>
    <row r="11" spans="1:9" x14ac:dyDescent="0.35">
      <c r="A11" s="13" t="s">
        <v>17</v>
      </c>
      <c r="B11" s="14"/>
      <c r="C11" s="14"/>
      <c r="D11" s="14"/>
      <c r="E11" s="14"/>
      <c r="F11" s="14"/>
      <c r="G11" s="15">
        <f>COUNTIF(G7:G10,"Yes")/COUNTA(G7:G10)</f>
        <v>0.75</v>
      </c>
      <c r="H11" s="15">
        <f>COUNTIF(H7:H10,"Yes")/COUNTA(H7:H10)</f>
        <v>0.5</v>
      </c>
      <c r="I11" s="5"/>
    </row>
    <row r="13" spans="1:9" ht="32.5" thickBot="1" x14ac:dyDescent="0.45">
      <c r="A13" s="10" t="s">
        <v>16</v>
      </c>
      <c r="B13" s="11"/>
      <c r="C13" s="11"/>
      <c r="D13" s="11"/>
      <c r="E13" s="11"/>
      <c r="F13" s="11"/>
      <c r="G13" s="11"/>
      <c r="H13" s="12">
        <f>COUNTIF(G7:H10,"Yes")/COUNTA(G7:H10)</f>
        <v>0.625</v>
      </c>
    </row>
    <row r="14" spans="1:9" ht="15" thickTop="1" x14ac:dyDescent="0.35"/>
  </sheetData>
  <conditionalFormatting sqref="G7:H11">
    <cfRule type="cellIs" dxfId="1" priority="2" operator="equal">
      <formula>"No"</formula>
    </cfRule>
  </conditionalFormatting>
  <conditionalFormatting sqref="H13">
    <cfRule type="cellIs" dxfId="0" priority="1" operator="equal">
      <formula>"No"</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50E-6C6A-49D6-9021-A693256FE7A6}">
  <dimension ref="A1:C13"/>
  <sheetViews>
    <sheetView workbookViewId="0">
      <selection activeCell="B21" sqref="B21"/>
    </sheetView>
  </sheetViews>
  <sheetFormatPr defaultRowHeight="14.5" x14ac:dyDescent="0.35"/>
  <cols>
    <col min="1" max="1" width="25.6328125" customWidth="1"/>
    <col min="2" max="2" width="25.90625" customWidth="1"/>
    <col min="3" max="3" width="53" customWidth="1"/>
  </cols>
  <sheetData>
    <row r="1" spans="1:3" ht="21" x14ac:dyDescent="0.5">
      <c r="A1" s="2" t="s">
        <v>22</v>
      </c>
    </row>
    <row r="2" spans="1:3" x14ac:dyDescent="0.35">
      <c r="A2" t="s">
        <v>23</v>
      </c>
    </row>
    <row r="4" spans="1:3" ht="44.5" customHeight="1" x14ac:dyDescent="0.35">
      <c r="A4" s="4" t="s">
        <v>19</v>
      </c>
      <c r="B4" s="4" t="s">
        <v>20</v>
      </c>
      <c r="C4" s="4" t="s">
        <v>21</v>
      </c>
    </row>
    <row r="5" spans="1:3" ht="23" customHeight="1" x14ac:dyDescent="0.35">
      <c r="A5" s="6">
        <v>0.99</v>
      </c>
      <c r="B5" s="7">
        <f>((1-A5)*30*24*60) / 1440</f>
        <v>0.30000000000000027</v>
      </c>
      <c r="C5" s="7">
        <f>((1-A5)*365*24*60) / 1440</f>
        <v>3.650000000000003</v>
      </c>
    </row>
    <row r="6" spans="1:3" ht="23" customHeight="1" x14ac:dyDescent="0.35">
      <c r="A6" s="6">
        <v>0.999</v>
      </c>
      <c r="B6" s="7">
        <f t="shared" ref="B6:B8" si="0">((1-A6)*30*24*60) / 1440</f>
        <v>3.0000000000000027E-2</v>
      </c>
      <c r="C6" s="7">
        <f t="shared" ref="C6:C8" si="1">((1-A6)*365*24*60) / 1440</f>
        <v>0.36500000000000032</v>
      </c>
    </row>
    <row r="7" spans="1:3" ht="23" customHeight="1" x14ac:dyDescent="0.35">
      <c r="A7" s="6">
        <v>0.99990000000000001</v>
      </c>
      <c r="B7" s="7">
        <f t="shared" si="0"/>
        <v>2.9999999999996696E-3</v>
      </c>
      <c r="C7" s="7">
        <f t="shared" si="1"/>
        <v>3.649999999999598E-2</v>
      </c>
    </row>
    <row r="8" spans="1:3" ht="23" customHeight="1" x14ac:dyDescent="0.35">
      <c r="A8" s="8">
        <v>0.99999000000000005</v>
      </c>
      <c r="B8" s="9">
        <f t="shared" si="0"/>
        <v>2.9999999999863469E-4</v>
      </c>
      <c r="C8" s="9">
        <f t="shared" si="1"/>
        <v>3.6499999999833888E-3</v>
      </c>
    </row>
    <row r="13" spans="1:3" ht="16" x14ac:dyDescent="0.4">
      <c r="A13" s="1" t="s">
        <v>18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8356-87D8-412F-844B-62980E5BC992}">
  <dimension ref="A1:A3"/>
  <sheetViews>
    <sheetView workbookViewId="0">
      <selection activeCell="A2" sqref="A2"/>
    </sheetView>
  </sheetViews>
  <sheetFormatPr defaultRowHeight="14.5" x14ac:dyDescent="0.35"/>
  <cols>
    <col min="1" max="1" width="10.81640625" bestFit="1" customWidth="1"/>
  </cols>
  <sheetData>
    <row r="1" spans="1:1" x14ac:dyDescent="0.35">
      <c r="A1" t="s">
        <v>2</v>
      </c>
    </row>
    <row r="2" spans="1:1" x14ac:dyDescent="0.35">
      <c r="A2" t="s">
        <v>1</v>
      </c>
    </row>
    <row r="3" spans="1:1" x14ac:dyDescent="0.35">
      <c r="A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SLA</vt:lpstr>
      <vt:lpstr>Downtime</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Naji El Kotob</dc:creator>
  <cp:lastModifiedBy>Naji El Kotob</cp:lastModifiedBy>
  <dcterms:created xsi:type="dcterms:W3CDTF">2025-11-28T07:22:19Z</dcterms:created>
  <dcterms:modified xsi:type="dcterms:W3CDTF">2025-11-29T12:08:31Z</dcterms:modified>
</cp:coreProperties>
</file>